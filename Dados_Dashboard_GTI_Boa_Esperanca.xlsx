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Me" sheetId="1" state="visible" r:id="rId3"/>
    <sheet name="Parametros" sheetId="2" state="visible" r:id="rId4"/>
    <sheet name="Indicadores" sheetId="3" state="visible" r:id="rId5"/>
    <sheet name="Medicoes" sheetId="4" state="visible" r:id="rId6"/>
    <sheet name="Riscos" sheetId="5" state="visible" r:id="rId7"/>
    <sheet name="Marcos" sheetId="6" state="visible" r:id="rId8"/>
    <sheet name="Decisoes" sheetId="7" state="visible" r:id="rId9"/>
    <sheet name="Medidas_DAX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<sst xmlns="http://schemas.openxmlformats.org/spreadsheetml/2006/main" count="453" uniqueCount="297">
  <si>
    <t xml:space="preserve">Dados do Dashboard de Governança de TI — Prefeitura de Boa Esperança</t>
  </si>
  <si>
    <t xml:space="preserve">Finalidade</t>
  </si>
  <si>
    <t xml:space="preserve">Base de dados para montar o dashboard no Power BI (atividade de Governança de TI, CSTSI 6, IFAC, aula de 22/10/2026).</t>
  </si>
  <si>
    <t xml:space="preserve">Atenção</t>
  </si>
  <si>
    <t xml:space="preserve">TODOS os valores mensais são SIMULADOS para a atividade e estão marcados como 'A validar'. Linhas de base, metas, prazos e riscos vêm do PDTI v0.1 da turma e da PSI e Matriz de Riscos da Equipe 03.</t>
  </si>
  <si>
    <t xml:space="preserve">Mês de referência</t>
  </si>
  <si>
    <t xml:space="preserve">dez/2026 (aba Parametros). Medições de set/2026 (linha de base) a dez/2026.</t>
  </si>
  <si>
    <t xml:space="preserve">Abas</t>
  </si>
  <si>
    <t xml:space="preserve">Indicadores</t>
  </si>
  <si>
    <t xml:space="preserve">Tabela dimensão: os 8 indicadores, com meta, sentido, prazo da meta, linha de base, fonte, responsável e vínculos com PDTI, PSI e riscos.</t>
  </si>
  <si>
    <t xml:space="preserve">Medicoes</t>
  </si>
  <si>
    <t xml:space="preserve">Tabela fato: valor de cada indicador por mês. Valor = Medido ÷ Total quando 'Total' está preenchido; senão Valor = Medido. Meta e Situacao são calculadas.</t>
  </si>
  <si>
    <t xml:space="preserve">Riscos</t>
  </si>
  <si>
    <t xml:space="preserve">Os 4 riscos da Matriz de Riscos da Equipe 03 (escala 1–5). Índice e faixa são calculados; a situação do tratamento vem da aba Marcos.</t>
  </si>
  <si>
    <t xml:space="preserve">Marcos</t>
  </si>
  <si>
    <t xml:space="preserve">Marcos de tratamento de cada risco (Quadro 4 da Matriz). Situação = Concluído, Em dia ou Atrasado em relação à data de referência.</t>
  </si>
  <si>
    <t xml:space="preserve">Decisoes</t>
  </si>
  <si>
    <t xml:space="preserve">As 4 decisões prioritárias para a direção, com indicador, responsável, prazo e evidência a validar.</t>
  </si>
  <si>
    <t xml:space="preserve">Parametros</t>
  </si>
  <si>
    <t xml:space="preserve">Data de referência usada nos cálculos de atraso.</t>
  </si>
  <si>
    <t xml:space="preserve">Medidas_DAX</t>
  </si>
  <si>
    <t xml:space="preserve">Relacionamentos e medidas para colar no Power BI.</t>
  </si>
  <si>
    <t xml:space="preserve">Regra de situação</t>
  </si>
  <si>
    <t xml:space="preserve">Segue o PDTI, seção 7.3: Atendido = alcançou a meta; Em atenção = abaixo da meta, mas o prazo da meta ainda não venceu; Não atendido = abaixo da meta com prazo vencido (ou meta mensal). Sem meta = indicador ainda sem meta definida.</t>
  </si>
  <si>
    <t xml:space="preserve">Cores do texto</t>
  </si>
  <si>
    <t xml:space="preserve">Azul = dado digitado (pode editar); preto = fórmula na mesma aba; verde = fórmula que busca dado em outra aba.</t>
  </si>
  <si>
    <t xml:space="preserve">Como importar</t>
  </si>
  <si>
    <t xml:space="preserve">Power BI Desktop › Obter dados › Pasta de trabalho do Excel › marque as tabelas Indicadores, Medicoes, Riscos, Marcos, Decisoes e Parametros (aparecem com esses nomes). Depois crie os relacionamentos e as medidas da aba Medidas_DAX.</t>
  </si>
  <si>
    <t xml:space="preserve">Parametro</t>
  </si>
  <si>
    <t xml:space="preserve">Valor</t>
  </si>
  <si>
    <t xml:space="preserve">Observacao</t>
  </si>
  <si>
    <t xml:space="preserve">Data_Referencia</t>
  </si>
  <si>
    <t xml:space="preserve">Fim do mês de referência do painel (simulado). Altere para recalcular atrasos.</t>
  </si>
  <si>
    <t xml:space="preserve">ID_Indicador</t>
  </si>
  <si>
    <t xml:space="preserve">Indicador</t>
  </si>
  <si>
    <t xml:space="preserve">Tipo</t>
  </si>
  <si>
    <t xml:space="preserve">Unidade</t>
  </si>
  <si>
    <t xml:space="preserve">Sentido</t>
  </si>
  <si>
    <t xml:space="preserve">Meta</t>
  </si>
  <si>
    <t xml:space="preserve">Prazo_Meta</t>
  </si>
  <si>
    <t xml:space="preserve">Linha_Base</t>
  </si>
  <si>
    <t xml:space="preserve">Fonte</t>
  </si>
  <si>
    <t xml:space="preserve">Periodicidade</t>
  </si>
  <si>
    <t xml:space="preserve">Responsavel</t>
  </si>
  <si>
    <t xml:space="preserve">Artefato</t>
  </si>
  <si>
    <t xml:space="preserve">ID_Risco</t>
  </si>
  <si>
    <t xml:space="preserve">Validacao</t>
  </si>
  <si>
    <t xml:space="preserve">IND01</t>
  </si>
  <si>
    <t xml:space="preserve">Disponibilidade mensal do portal</t>
  </si>
  <si>
    <t xml:space="preserve">Principal</t>
  </si>
  <si>
    <t xml:space="preserve">%</t>
  </si>
  <si>
    <t xml:space="preserve">Maior é melhor</t>
  </si>
  <si>
    <t xml:space="preserve">Ferramenta de monitoramento, registros de incidentes e relatórios do prestador</t>
  </si>
  <si>
    <t xml:space="preserve">Mensal</t>
  </si>
  <si>
    <t xml:space="preserve">Gestão de TI</t>
  </si>
  <si>
    <t xml:space="preserve">PDTI O1 / PSI P1</t>
  </si>
  <si>
    <t xml:space="preserve">R4</t>
  </si>
  <si>
    <t xml:space="preserve">A validar</t>
  </si>
  <si>
    <t xml:space="preserve">IND02</t>
  </si>
  <si>
    <t xml:space="preserve">Chamados de lentidão do prontuário (janela de 20 dias úteis)</t>
  </si>
  <si>
    <t xml:space="preserve">chamados</t>
  </si>
  <si>
    <t xml:space="preserve">Menor é melhor</t>
  </si>
  <si>
    <t xml:space="preserve">Central de atendimento / Service Desk</t>
  </si>
  <si>
    <t xml:space="preserve">Coordenação de Sistemas e Infraestrutura</t>
  </si>
  <si>
    <t xml:space="preserve">PDTI O2 / PSI P2</t>
  </si>
  <si>
    <t xml:space="preserve">R2</t>
  </si>
  <si>
    <t xml:space="preserve">IND03</t>
  </si>
  <si>
    <t xml:space="preserve">Testes de restauração realizados (acumulado previsto)</t>
  </si>
  <si>
    <t xml:space="preserve">Ferramenta de backup, logs e relatórios de teste</t>
  </si>
  <si>
    <t xml:space="preserve">Coordenação de TI</t>
  </si>
  <si>
    <t xml:space="preserve">PDTI O3 / PSI P3</t>
  </si>
  <si>
    <t xml:space="preserve">R1</t>
  </si>
  <si>
    <t xml:space="preserve">IND04</t>
  </si>
  <si>
    <t xml:space="preserve">Computadores sem atualização ligados à rede</t>
  </si>
  <si>
    <t xml:space="preserve">computadores</t>
  </si>
  <si>
    <t xml:space="preserve">Inventário de ativos</t>
  </si>
  <si>
    <t xml:space="preserve">Matriz de Riscos R3 (sem linha no PDTI/PSI)</t>
  </si>
  <si>
    <t xml:space="preserve">R3</t>
  </si>
  <si>
    <t xml:space="preserve">IND05</t>
  </si>
  <si>
    <t xml:space="preserve">Tempo de recuperação do portal (último incidente)</t>
  </si>
  <si>
    <t xml:space="preserve">Complementar</t>
  </si>
  <si>
    <t xml:space="preserve">horas</t>
  </si>
  <si>
    <t xml:space="preserve">Registro de incidentes</t>
  </si>
  <si>
    <t xml:space="preserve">Por incidente</t>
  </si>
  <si>
    <t xml:space="preserve">PSI P1 (meta de 4 h)</t>
  </si>
  <si>
    <t xml:space="preserve">IND06</t>
  </si>
  <si>
    <t xml:space="preserve">Dias com lentidão no prontuário (de 20 dias úteis)</t>
  </si>
  <si>
    <t xml:space="preserve">dias</t>
  </si>
  <si>
    <t xml:space="preserve">Gestor de Sistemas</t>
  </si>
  <si>
    <t xml:space="preserve">Matriz de Riscos R2</t>
  </si>
  <si>
    <t xml:space="preserve">A validar — meta a definir</t>
  </si>
  <si>
    <t xml:space="preserve">IND07</t>
  </si>
  <si>
    <t xml:space="preserve">Folha e prontuário com backup automatizado</t>
  </si>
  <si>
    <t xml:space="preserve">Ferramenta de backup</t>
  </si>
  <si>
    <t xml:space="preserve">PSI P3 / Matriz de Riscos R1</t>
  </si>
  <si>
    <t xml:space="preserve">IND08</t>
  </si>
  <si>
    <t xml:space="preserve">Revisões de permissões do prontuário no trimestre</t>
  </si>
  <si>
    <t xml:space="preserve">revisões</t>
  </si>
  <si>
    <t xml:space="preserve">Relação de permissões e registros de acesso</t>
  </si>
  <si>
    <t xml:space="preserve">Trimestral</t>
  </si>
  <si>
    <t xml:space="preserve">PSI P4 / LGPD</t>
  </si>
  <si>
    <t xml:space="preserve">ID_Medicao</t>
  </si>
  <si>
    <t xml:space="preserve">Mes</t>
  </si>
  <si>
    <t xml:space="preserve">Medido</t>
  </si>
  <si>
    <t xml:space="preserve">Total</t>
  </si>
  <si>
    <t xml:space="preserve">Situacao</t>
  </si>
  <si>
    <t xml:space="preserve">M001</t>
  </si>
  <si>
    <t xml:space="preserve">A validar (simulado)</t>
  </si>
  <si>
    <t xml:space="preserve">Linha de base: 19 h fora do ar em 720 h</t>
  </si>
  <si>
    <t xml:space="preserve">M002</t>
  </si>
  <si>
    <t xml:space="preserve">14 h fora do ar</t>
  </si>
  <si>
    <t xml:space="preserve">M003</t>
  </si>
  <si>
    <t xml:space="preserve">6 h fora do ar</t>
  </si>
  <si>
    <t xml:space="preserve">M004</t>
  </si>
  <si>
    <t xml:space="preserve">10,5 h fora do ar</t>
  </si>
  <si>
    <t xml:space="preserve">M005</t>
  </si>
  <si>
    <t xml:space="preserve">Linha de base do PDTI</t>
  </si>
  <si>
    <t xml:space="preserve">M006</t>
  </si>
  <si>
    <t xml:space="preserve">M007</t>
  </si>
  <si>
    <t xml:space="preserve">Após plano de correção</t>
  </si>
  <si>
    <t xml:space="preserve">M008</t>
  </si>
  <si>
    <t xml:space="preserve">M009</t>
  </si>
  <si>
    <t xml:space="preserve">1º teste realizado em out/2026</t>
  </si>
  <si>
    <t xml:space="preserve">M010</t>
  </si>
  <si>
    <t xml:space="preserve">Teste de nov/2026 não realizado</t>
  </si>
  <si>
    <t xml:space="preserve">M011</t>
  </si>
  <si>
    <t xml:space="preserve">Teste de dez/2026 realizado; nov continua pendente</t>
  </si>
  <si>
    <t xml:space="preserve">M012</t>
  </si>
  <si>
    <t xml:space="preserve">Linha de base da Matriz de Riscos</t>
  </si>
  <si>
    <t xml:space="preserve">M013</t>
  </si>
  <si>
    <t xml:space="preserve">Inventário concluído</t>
  </si>
  <si>
    <t xml:space="preserve">M014</t>
  </si>
  <si>
    <t xml:space="preserve">M015</t>
  </si>
  <si>
    <t xml:space="preserve">8 de 14 tratados</t>
  </si>
  <si>
    <t xml:space="preserve">M016</t>
  </si>
  <si>
    <t xml:space="preserve">Incidente de nov/2026</t>
  </si>
  <si>
    <t xml:space="preserve">M017</t>
  </si>
  <si>
    <t xml:space="preserve">Incidente de dez/2026: 5h20</t>
  </si>
  <si>
    <t xml:space="preserve">M018</t>
  </si>
  <si>
    <t xml:space="preserve">Linha de base: 7 de 20 dias úteis</t>
  </si>
  <si>
    <t xml:space="preserve">M019</t>
  </si>
  <si>
    <t xml:space="preserve">M020</t>
  </si>
  <si>
    <t xml:space="preserve">M021</t>
  </si>
  <si>
    <t xml:space="preserve">M022</t>
  </si>
  <si>
    <t xml:space="preserve">Backup parcialmente manual</t>
  </si>
  <si>
    <t xml:space="preserve">M023</t>
  </si>
  <si>
    <t xml:space="preserve">M024</t>
  </si>
  <si>
    <t xml:space="preserve">Folha automatizada</t>
  </si>
  <si>
    <t xml:space="preserve">M025</t>
  </si>
  <si>
    <t xml:space="preserve">Prontuário automatizado</t>
  </si>
  <si>
    <t xml:space="preserve">M026</t>
  </si>
  <si>
    <t xml:space="preserve">Nenhuma revisão no 4º trimestre</t>
  </si>
  <si>
    <t xml:space="preserve">Risco</t>
  </si>
  <si>
    <t xml:space="preserve">Ativo_Servico</t>
  </si>
  <si>
    <t xml:space="preserve">Probabilidade</t>
  </si>
  <si>
    <t xml:space="preserve">Impacto</t>
  </si>
  <si>
    <t xml:space="preserve">Indice</t>
  </si>
  <si>
    <t xml:space="preserve">Faixa</t>
  </si>
  <si>
    <t xml:space="preserve">Prioridade</t>
  </si>
  <si>
    <t xml:space="preserve">Vinculo_PDTI</t>
  </si>
  <si>
    <t xml:space="preserve">Vinculo_PSI</t>
  </si>
  <si>
    <t xml:space="preserve">Situacao_Tratamento</t>
  </si>
  <si>
    <t xml:space="preserve">Falha na restauração de dados</t>
  </si>
  <si>
    <t xml:space="preserve">Dados da folha e do prontuário (rotina de backup)</t>
  </si>
  <si>
    <t xml:space="preserve">O3 / I3</t>
  </si>
  <si>
    <t xml:space="preserve">P3</t>
  </si>
  <si>
    <t xml:space="preserve">Lentidão ou queda do prontuário</t>
  </si>
  <si>
    <t xml:space="preserve">Sistema de prontuário (4 unidades de saúde e hospital)</t>
  </si>
  <si>
    <t xml:space="preserve">O2 / I2</t>
  </si>
  <si>
    <t xml:space="preserve">P2</t>
  </si>
  <si>
    <t xml:space="preserve">Gestor de Sistemas + Sec. de Saúde</t>
  </si>
  <si>
    <t xml:space="preserve">Malware via computadores desatualizados</t>
  </si>
  <si>
    <t xml:space="preserve">Estações de trabalho (14 sem atualização)</t>
  </si>
  <si>
    <t xml:space="preserve">Sem linha (propor)</t>
  </si>
  <si>
    <t xml:space="preserve">Sem diretriz (propor)</t>
  </si>
  <si>
    <t xml:space="preserve">Coordenação de TI + Sec. de Administração</t>
  </si>
  <si>
    <t xml:space="preserve">Indisponibilidade do portal</t>
  </si>
  <si>
    <t xml:space="preserve">Portal da Prefeitura (serviços ao cidadão)</t>
  </si>
  <si>
    <t xml:space="preserve">O1 / I1</t>
  </si>
  <si>
    <t xml:space="preserve">P1</t>
  </si>
  <si>
    <t xml:space="preserve">ID_Marco</t>
  </si>
  <si>
    <t xml:space="preserve">Marco</t>
  </si>
  <si>
    <t xml:space="preserve">Prazo</t>
  </si>
  <si>
    <t xml:space="preserve">Status_Execucao</t>
  </si>
  <si>
    <t xml:space="preserve">Data_Conclusao</t>
  </si>
  <si>
    <t xml:space="preserve">Evidencia</t>
  </si>
  <si>
    <t xml:space="preserve">K01</t>
  </si>
  <si>
    <t xml:space="preserve">1º teste de restauração da folha e do prontuário</t>
  </si>
  <si>
    <t xml:space="preserve">Concluído</t>
  </si>
  <si>
    <t xml:space="preserve">Relatório de teste (data, sistema, tempo, resultado)</t>
  </si>
  <si>
    <t xml:space="preserve">K02</t>
  </si>
  <si>
    <t xml:space="preserve">Teste mensal de restauração de nov/2026</t>
  </si>
  <si>
    <t xml:space="preserve">Pendente</t>
  </si>
  <si>
    <t xml:space="preserve">Relatório de teste</t>
  </si>
  <si>
    <t xml:space="preserve">K03</t>
  </si>
  <si>
    <t xml:space="preserve">Backup automatizado da folha e do prontuário</t>
  </si>
  <si>
    <t xml:space="preserve">Logs de execução automática</t>
  </si>
  <si>
    <t xml:space="preserve">K04</t>
  </si>
  <si>
    <t xml:space="preserve">Testes mensais de restauração (ciclo completo)</t>
  </si>
  <si>
    <t xml:space="preserve">Em andamento</t>
  </si>
  <si>
    <t xml:space="preserve">Relatórios mensais de teste</t>
  </si>
  <si>
    <t xml:space="preserve">K05</t>
  </si>
  <si>
    <t xml:space="preserve">Análise dos 146 chamados (causa raiz)</t>
  </si>
  <si>
    <t xml:space="preserve">Relatório de causa raiz</t>
  </si>
  <si>
    <t xml:space="preserve">K06</t>
  </si>
  <si>
    <t xml:space="preserve">Plano de correção</t>
  </si>
  <si>
    <t xml:space="preserve">Plano de correção aprovado</t>
  </si>
  <si>
    <t xml:space="preserve">K07</t>
  </si>
  <si>
    <t xml:space="preserve">SLA de desempenho com o fornecedor</t>
  </si>
  <si>
    <t xml:space="preserve">Cláusula de SLA no contrato</t>
  </si>
  <si>
    <t xml:space="preserve">K08</t>
  </si>
  <si>
    <t xml:space="preserve">Inventário dos 38 computadores antigos</t>
  </si>
  <si>
    <t xml:space="preserve">Inventário de ativos atualizado</t>
  </si>
  <si>
    <t xml:space="preserve">K09</t>
  </si>
  <si>
    <t xml:space="preserve">Tratar os 14 computadores sem atualização</t>
  </si>
  <si>
    <t xml:space="preserve">Relatório com 0 computador sem atualização na rede</t>
  </si>
  <si>
    <t xml:space="preserve">K10</t>
  </si>
  <si>
    <t xml:space="preserve">Plano de substituição do parque</t>
  </si>
  <si>
    <t xml:space="preserve">Processo de aquisição aprovado</t>
  </si>
  <si>
    <t xml:space="preserve">Sec. de Administração</t>
  </si>
  <si>
    <t xml:space="preserve">K11</t>
  </si>
  <si>
    <t xml:space="preserve">Monitoramento de disponibilidade com alerta</t>
  </si>
  <si>
    <t xml:space="preserve">Relatório mensal de disponibilidade</t>
  </si>
  <si>
    <t xml:space="preserve">K12</t>
  </si>
  <si>
    <t xml:space="preserve">Procedimento de continuidade do portal</t>
  </si>
  <si>
    <t xml:space="preserve">Procedimento aprovado</t>
  </si>
  <si>
    <t xml:space="preserve">ID_Decisao</t>
  </si>
  <si>
    <t xml:space="preserve">Decisao</t>
  </si>
  <si>
    <t xml:space="preserve">Justificativa</t>
  </si>
  <si>
    <t xml:space="preserve">Evidencia_a_validar</t>
  </si>
  <si>
    <t xml:space="preserve">Status</t>
  </si>
  <si>
    <t xml:space="preserve">Registro</t>
  </si>
  <si>
    <t xml:space="preserve">D1</t>
  </si>
  <si>
    <t xml:space="preserve">Isolar da rede os 6 computadores ainda sem atualização</t>
  </si>
  <si>
    <t xml:space="preserve">6 computadores sem atualização; meta 0 com prazo vencido em 30/11/2026</t>
  </si>
  <si>
    <t xml:space="preserve">Setor de cada máquina; se for saúde ou folha, o R3 sobe para 15 (Alto)</t>
  </si>
  <si>
    <t xml:space="preserve">Proposta</t>
  </si>
  <si>
    <t xml:space="preserve">Ata — pendente (comitê não formalizado)</t>
  </si>
  <si>
    <t xml:space="preserve">D2</t>
  </si>
  <si>
    <t xml:space="preserve">Formalizar SLA e plano de recuperação do portal</t>
  </si>
  <si>
    <t xml:space="preserve">IND01; IND05</t>
  </si>
  <si>
    <t xml:space="preserve">Disponibilidade 98,6% (meta 99%) e recuperação em 5h20 (meta 4 h)</t>
  </si>
  <si>
    <t xml:space="preserve">Causa da queda de set/2026 e se a hospedagem é contratada</t>
  </si>
  <si>
    <t xml:space="preserve">D3</t>
  </si>
  <si>
    <t xml:space="preserve">Manter o plano do prontuário e definir meta para dias com lentidão</t>
  </si>
  <si>
    <t xml:space="preserve">IND02; IND06</t>
  </si>
  <si>
    <t xml:space="preserve">Chamados caíram de 146 para 64, ainda acima da meta de 29 (prazo mar/2027); dias com lentidão sem meta</t>
  </si>
  <si>
    <t xml:space="preserve">Relatório de causa raiz e chamados por unidade de saúde</t>
  </si>
  <si>
    <t xml:space="preserve">D4</t>
  </si>
  <si>
    <t xml:space="preserve">Repor o teste de restauração em atraso e instituir revisão trimestral de permissões</t>
  </si>
  <si>
    <t xml:space="preserve">IND03; IND08</t>
  </si>
  <si>
    <t xml:space="preserve">Testes 2 de 3 previstos; nenhuma revisão de permissões no trimestre</t>
  </si>
  <si>
    <t xml:space="preserve">Coordenação de TI e Gestão de TI</t>
  </si>
  <si>
    <t xml:space="preserve">Relatório do teste e relação de permissões do prontuário</t>
  </si>
  <si>
    <t xml:space="preserve">RELACIONAMENTOS</t>
  </si>
  <si>
    <t xml:space="preserve">Medicoes → Indicadores</t>
  </si>
  <si>
    <t xml:space="preserve">Medicoes[ID_Indicador] (muitos) → Indicadores[ID_Indicador] (um)</t>
  </si>
  <si>
    <t xml:space="preserve">Indicadores → Riscos</t>
  </si>
  <si>
    <t xml:space="preserve">Indicadores[ID_Risco] (muitos) → Riscos[ID_Risco] (um)</t>
  </si>
  <si>
    <t xml:space="preserve">Marcos → Riscos</t>
  </si>
  <si>
    <t xml:space="preserve">Marcos[ID_Risco] (muitos) → Riscos[ID_Risco] (um)</t>
  </si>
  <si>
    <t xml:space="preserve">Decisoes → Riscos</t>
  </si>
  <si>
    <t xml:space="preserve">Decisoes[ID_Risco] (muitos) → Riscos[ID_Risco] (um)</t>
  </si>
  <si>
    <t xml:space="preserve">Medicoes → Calendario</t>
  </si>
  <si>
    <t xml:space="preserve">Medicoes[Mes] (muitos) → Calendario[Data] (um) — crie a tabela abaixo e marque-a como tabela de datas</t>
  </si>
  <si>
    <t xml:space="preserve">TABELA CALCULADA</t>
  </si>
  <si>
    <t xml:space="preserve">Calendario</t>
  </si>
  <si>
    <t xml:space="preserve">Calendario = ADDCOLUMNS( CALENDAR( DATE(2026,9,1), DATE(2027,9,30) ), "MesAno", FORMAT([Date], "mmm/yyyy"), "AnoMes", YEAR([Date])*100 + MONTH([Date]) )</t>
  </si>
  <si>
    <t xml:space="preserve">MEDIDAS</t>
  </si>
  <si>
    <t xml:space="preserve">Valor Atual</t>
  </si>
  <si>
    <t xml:space="preserve">Valor Atual =
VAR UltimoMes = MAX( Medicoes[Mes] )
RETURN CALCULATE( SUM( Medicoes[Valor] ), Medicoes[Mes] = UltimoMes )</t>
  </si>
  <si>
    <t xml:space="preserve">Meta = SELECTEDVALUE( Indicadores[Meta] )</t>
  </si>
  <si>
    <t xml:space="preserve">Linha Base</t>
  </si>
  <si>
    <t xml:space="preserve">Linha Base = SELECTEDVALUE( Indicadores[Linha_Base] )</t>
  </si>
  <si>
    <t xml:space="preserve">Variação vs Base</t>
  </si>
  <si>
    <t xml:space="preserve">Variação vs Base = DIVIDE( [Valor Atual] - [Linha Base], [Linha Base] )</t>
  </si>
  <si>
    <t xml:space="preserve">Situação</t>
  </si>
  <si>
    <t xml:space="preserve">Situação =
VAR v = [Valor Atual]
VAR m = [Meta]
VAR s = SELECTEDVALUE( Indicadores[Sentido] )
VAR p = SELECTEDVALUE( Indicadores[Prazo_Meta] )
VAR ref = EOMONTH( MAX( Medicoes[Mes] ), 0 )
RETURN
    IF( ISBLANK( m ), "Sem meta",
        IF( IF( s = "Maior é melhor", v &gt;= m, v &lt;= m ), "Atendido",
            IF( NOT ISBLANK( p ) &amp;&amp; p &gt; ref, "Em atenção", "Não atendido" ) ) )</t>
  </si>
  <si>
    <t xml:space="preserve">Cor Situação</t>
  </si>
  <si>
    <t xml:space="preserve">Cor Situação = SWITCH( [Situação], "Atendido", "#1A6340", "Em atenção", "#7A4A00", "Não atendido", "#A3190F", "#4A5462" )
-- use em Formatação condicional › Cor da fonte › Valor do campo</t>
  </si>
  <si>
    <t xml:space="preserve">Texto Meta</t>
  </si>
  <si>
    <t xml:space="preserve">Texto Meta =
VAR s = SELECTEDVALUE( Indicadores[Sentido] )
VAR u = SELECTEDVALUE( Indicadores[Unidade] )
VAR m = [Meta]
RETURN IF( ISBLANK( m ), "Meta a definir",
    IF( s = "Maior é melhor", "Meta ≥ ", "Meta ≤ " ) &amp; IF( u = "%", FORMAT( m, "0%" ), FORMAT( m, "0.##" ) &amp; " " &amp; u ) )</t>
  </si>
  <si>
    <t xml:space="preserve">Riscos Críticos</t>
  </si>
  <si>
    <t xml:space="preserve">Riscos Críticos = CALCULATE( COUNTROWS( Riscos ), Riscos[Faixa] = "Crítico" )</t>
  </si>
  <si>
    <t xml:space="preserve">Marcos Atrasados</t>
  </si>
  <si>
    <t xml:space="preserve">Marcos Atrasados = CALCULATE( COUNTROWS( Marcos ), Marcos[Situacao] = "Atrasado" )</t>
  </si>
  <si>
    <t xml:space="preserve">Indicadores Não Atendidos</t>
  </si>
  <si>
    <t xml:space="preserve">Indicadores Não Atendidos = COUNTROWS( FILTER( VALUES( Indicadores[ID_Indicador] ), [Situação] = "Não atendido" ) )</t>
  </si>
  <si>
    <t xml:space="preserve">DICAS DE VISUAIS</t>
  </si>
  <si>
    <t xml:space="preserve">Cartões (página 1)</t>
  </si>
  <si>
    <t xml:space="preserve">Visual Cartão (novo) com [Valor Atual]; filtro do visual em Indicadores[ID_Indicador]; [Texto Meta] e [Situação] como rótulos de referência.</t>
  </si>
  <si>
    <t xml:space="preserve">Linha / colunas</t>
  </si>
  <si>
    <t xml:space="preserve">Eixo X = Calendario[MesAno] (ordenar por AnoMes); Y = Valor Atual; linha constante (painel Análise) com a meta.</t>
  </si>
  <si>
    <t xml:space="preserve">Matriz de riscos</t>
  </si>
  <si>
    <t xml:space="preserve">Visual Matriz: linhas = Riscos[Probabilidade] (decrescente), colunas = Riscos[Impacto], valores = ID_Risco (Primeiro); formatação condicional de fundo por Riscos[Indice].</t>
  </si>
  <si>
    <t xml:space="preserve">Atualizar a data</t>
  </si>
  <si>
    <t xml:space="preserve">Mudou o mês de referência? Altere Parametros[Valor] e acrescente as novas linhas em Medicoes.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</si>
</sst>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0.0%"/>
    <numFmt numFmtId="167" formatCode="mm/yyyy"/>
    <numFmt numFmtId="168" formatCode="0.000"/>
    <numFmt numFmtId="169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A3190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1F4E8C"/>
      <name val="Arial"/>
      <family val="0"/>
      <charset val="1"/>
    </font>
    <font>
      <sz val="10"/>
      <name val="Consolas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A3190F"/>
      <rgbColor rgb="FF993366"/>
      <rgbColor rgb="FF1F4E8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ecisoes" displayName="Decisoes" ref="A1:J5" headerRowCount="1" totalsRowCount="0" totalsRowShown="0">
  <autoFilter ref="A1:J5"/>
  <tableColumns count="10">
    <tableColumn id="1" name="ID_Decisao"/>
    <tableColumn id="2" name="Decisao"/>
    <tableColumn id="3" name="ID_Risco"/>
    <tableColumn id="4" name="Indicadores"/>
    <tableColumn id="5" name="Justificativa"/>
    <tableColumn id="6" name="Responsavel"/>
    <tableColumn id="7" name="Prazo"/>
    <tableColumn id="8" name="Evidencia_a_validar"/>
    <tableColumn id="9" name="Status"/>
    <tableColumn id="10" name="Registro"/>
  </tableColumns>
</table>
</file>

<file path=xl/tables/table2.xml><?xml version="1.0" encoding="utf-8"?>
<table xmlns="http://schemas.openxmlformats.org/spreadsheetml/2006/main" id="2" name="Indicadores" displayName="Indicadores" ref="A1:N9" headerRowCount="1" totalsRowCount="0" totalsRowShown="0">
  <autoFilter ref="A1:N9"/>
  <tableColumns count="14">
    <tableColumn id="1" name="ID_Indicador"/>
    <tableColumn id="2" name="Indicador"/>
    <tableColumn id="3" name="Tipo"/>
    <tableColumn id="4" name="Unidade"/>
    <tableColumn id="5" name="Sentido"/>
    <tableColumn id="6" name="Meta"/>
    <tableColumn id="7" name="Prazo_Meta"/>
    <tableColumn id="8" name="Linha_Base"/>
    <tableColumn id="9" name="Fonte"/>
    <tableColumn id="10" name="Periodicidade"/>
    <tableColumn id="11" name="Responsavel"/>
    <tableColumn id="12" name="Artefato"/>
    <tableColumn id="13" name="ID_Risco"/>
    <tableColumn id="14" name="Validacao"/>
  </tableColumns>
</table>
</file>

<file path=xl/tables/table3.xml><?xml version="1.0" encoding="utf-8"?>
<table xmlns="http://schemas.openxmlformats.org/spreadsheetml/2006/main" id="3" name="Marcos" displayName="Marcos" ref="A1:I13" headerRowCount="1" totalsRowCount="0" totalsRowShown="0">
  <autoFilter ref="A1:I13"/>
  <tableColumns count="9">
    <tableColumn id="1" name="ID_Marco"/>
    <tableColumn id="2" name="ID_Risco"/>
    <tableColumn id="3" name="Marco"/>
    <tableColumn id="4" name="Prazo"/>
    <tableColumn id="5" name="Status_Execucao"/>
    <tableColumn id="6" name="Data_Conclusao"/>
    <tableColumn id="7" name="Situacao"/>
    <tableColumn id="8" name="Evidencia"/>
    <tableColumn id="9" name="Responsavel"/>
  </tableColumns>
</table>
</file>

<file path=xl/tables/table4.xml><?xml version="1.0" encoding="utf-8"?>
<table xmlns="http://schemas.openxmlformats.org/spreadsheetml/2006/main" id="4" name="Medicoes" displayName="Medicoes" ref="A1:J27" headerRowCount="1" totalsRowCount="0" totalsRowShown="0">
  <autoFilter ref="A1:J27"/>
  <tableColumns count="10">
    <tableColumn id="1" name="ID_Medicao"/>
    <tableColumn id="2" name="ID_Indicador"/>
    <tableColumn id="3" name="Mes"/>
    <tableColumn id="4" name="Medido"/>
    <tableColumn id="5" name="Total"/>
    <tableColumn id="6" name="Valor"/>
    <tableColumn id="7" name="Meta"/>
    <tableColumn id="8" name="Situacao"/>
    <tableColumn id="9" name="Validacao"/>
    <tableColumn id="10" name="Observacao"/>
  </tableColumns>
</table>
</file>

<file path=xl/tables/table5.xml><?xml version="1.0" encoding="utf-8"?>
<table xmlns="http://schemas.openxmlformats.org/spreadsheetml/2006/main" id="5" name="Parametros" displayName="Parametros" ref="A1:C2" headerRowCount="1" totalsRowCount="0" totalsRowShown="0">
  <autoFilter ref="A1:C2"/>
  <tableColumns count="3">
    <tableColumn id="1" name="Parametro"/>
    <tableColumn id="2" name="Valor"/>
    <tableColumn id="3" name="Observacao"/>
  </tableColumns>
</table>
</file>

<file path=xl/tables/table6.xml><?xml version="1.0" encoding="utf-8"?>
<table xmlns="http://schemas.openxmlformats.org/spreadsheetml/2006/main" id="6" name="Riscos" displayName="Riscos" ref="A1:M5" headerRowCount="1" totalsRowCount="0" totalsRowShown="0">
  <autoFilter ref="A1:M5"/>
  <tableColumns count="13">
    <tableColumn id="1" name="ID_Risco"/>
    <tableColumn id="2" name="Risco"/>
    <tableColumn id="3" name="Ativo_Servico"/>
    <tableColumn id="4" name="Probabilidade"/>
    <tableColumn id="5" name="Impacto"/>
    <tableColumn id="6" name="Indice"/>
    <tableColumn id="7" name="Faixa"/>
    <tableColumn id="8" name="Prioridade"/>
    <tableColumn id="9" name="Vinculo_PDTI"/>
    <tableColumn id="10" name="Vinculo_PSI"/>
    <tableColumn id="11" name="Responsavel"/>
    <tableColumn id="12" name="Situacao_Tratamento"/>
    <tableColumn id="13" name="Validaca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  <c r="B2" s="3"/>
    </row>
    <row r="3" customFormat="false" ht="23.85" hidden="false" customHeight="false" outlineLevel="0" collapsed="false">
      <c r="A3" s="2" t="s">
        <v>1</v>
      </c>
      <c r="B3" s="3" t="s">
        <v>2</v>
      </c>
    </row>
    <row r="4" customFormat="false" ht="23.85" hidden="false" customHeight="false" outlineLevel="0" collapsed="false">
      <c r="A4" s="4" t="s">
        <v>3</v>
      </c>
      <c r="B4" s="5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/>
      <c r="B6" s="3"/>
    </row>
    <row r="7" customFormat="false" ht="15" hidden="false" customHeight="false" outlineLevel="0" collapsed="false">
      <c r="A7" s="6" t="s">
        <v>7</v>
      </c>
      <c r="B7" s="3"/>
    </row>
    <row r="8" customFormat="false" ht="23.85" hidden="false" customHeight="false" outlineLevel="0" collapsed="false">
      <c r="A8" s="2" t="s">
        <v>8</v>
      </c>
      <c r="B8" s="3" t="s">
        <v>9</v>
      </c>
    </row>
    <row r="9" customFormat="false" ht="23.85" hidden="false" customHeight="false" outlineLevel="0" collapsed="false">
      <c r="A9" s="2" t="s">
        <v>10</v>
      </c>
      <c r="B9" s="3" t="s">
        <v>11</v>
      </c>
    </row>
    <row r="10" customFormat="false" ht="23.85" hidden="false" customHeight="false" outlineLevel="0" collapsed="false">
      <c r="A10" s="2" t="s">
        <v>12</v>
      </c>
      <c r="B10" s="3" t="s">
        <v>13</v>
      </c>
    </row>
    <row r="11" customFormat="false" ht="23.85" hidden="false" customHeight="false" outlineLevel="0" collapsed="false">
      <c r="A11" s="2" t="s">
        <v>14</v>
      </c>
      <c r="B11" s="3" t="s">
        <v>15</v>
      </c>
    </row>
    <row r="12" customFormat="false" ht="15" hidden="false" customHeight="false" outlineLevel="0" collapsed="false">
      <c r="A12" s="2" t="s">
        <v>16</v>
      </c>
      <c r="B12" s="3" t="s">
        <v>17</v>
      </c>
    </row>
    <row r="13" customFormat="false" ht="15" hidden="false" customHeight="false" outlineLevel="0" collapsed="false">
      <c r="A13" s="2" t="s">
        <v>18</v>
      </c>
      <c r="B13" s="3" t="s">
        <v>19</v>
      </c>
    </row>
    <row r="14" customFormat="false" ht="15" hidden="false" customHeight="false" outlineLevel="0" collapsed="false">
      <c r="A14" s="2" t="s">
        <v>20</v>
      </c>
      <c r="B14" s="3" t="s">
        <v>21</v>
      </c>
    </row>
    <row r="15" customFormat="false" ht="15" hidden="false" customHeight="false" outlineLevel="0" collapsed="false">
      <c r="A15" s="2"/>
      <c r="B15" s="3"/>
    </row>
    <row r="16" customFormat="false" ht="35.05" hidden="false" customHeight="false" outlineLevel="0" collapsed="false">
      <c r="A16" s="2" t="s">
        <v>22</v>
      </c>
      <c r="B16" s="3" t="s">
        <v>23</v>
      </c>
    </row>
    <row r="17" customFormat="false" ht="15" hidden="false" customHeight="false" outlineLevel="0" collapsed="false">
      <c r="A17" s="2" t="s">
        <v>24</v>
      </c>
      <c r="B17" s="3" t="s">
        <v>25</v>
      </c>
    </row>
    <row r="18" customFormat="false" ht="15" hidden="false" customHeight="false" outlineLevel="0" collapsed="false">
      <c r="A18" s="2"/>
      <c r="B18" s="3"/>
    </row>
    <row r="19" customFormat="false" ht="35.05" hidden="false" customHeight="false" outlineLevel="0" collapsed="false">
      <c r="A19" s="2" t="s">
        <v>26</v>
      </c>
      <c r="B19" s="3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30" hidden="false" customHeight="true" outlineLevel="0" collapsed="false">
      <c r="A1" s="7" t="s">
        <v>28</v>
      </c>
      <c r="B1" s="7" t="s">
        <v>29</v>
      </c>
      <c r="C1" s="7" t="s">
        <v>30</v>
      </c>
    </row>
    <row r="2" customFormat="false" ht="15" hidden="false" customHeight="false" outlineLevel="0" collapsed="false">
      <c r="A2" s="8" t="s">
        <v>31</v>
      </c>
      <c r="B2" s="9" t="n">
        <v>46387</v>
      </c>
      <c r="C2" s="8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40"/>
    <col collapsed="false" customWidth="true" hidden="false" outlineLevel="0" max="10" min="10" style="0" width="13"/>
    <col collapsed="false" customWidth="true" hidden="false" outlineLevel="0" max="11" min="11" style="0" width="26"/>
    <col collapsed="false" customWidth="true" hidden="false" outlineLevel="0" max="12" min="12" style="0" width="28"/>
    <col collapsed="false" customWidth="true" hidden="false" outlineLevel="0" max="13" min="13" style="0" width="9"/>
    <col collapsed="false" customWidth="true" hidden="false" outlineLevel="0" max="14" min="14" style="0" width="18"/>
  </cols>
  <sheetData>
    <row r="1" customFormat="false" ht="30" hidden="false" customHeight="true" outlineLevel="0" collapsed="false">
      <c r="A1" s="7" t="s">
        <v>33</v>
      </c>
      <c r="B1" s="7" t="s">
        <v>34</v>
      </c>
      <c r="C1" s="7" t="s">
        <v>35</v>
      </c>
      <c r="D1" s="7" t="s">
        <v>36</v>
      </c>
      <c r="E1" s="7" t="s">
        <v>37</v>
      </c>
      <c r="F1" s="7" t="s">
        <v>38</v>
      </c>
      <c r="G1" s="7" t="s">
        <v>39</v>
      </c>
      <c r="H1" s="7" t="s">
        <v>40</v>
      </c>
      <c r="I1" s="7" t="s">
        <v>41</v>
      </c>
      <c r="J1" s="7" t="s">
        <v>42</v>
      </c>
      <c r="K1" s="7" t="s">
        <v>43</v>
      </c>
      <c r="L1" s="7" t="s">
        <v>44</v>
      </c>
      <c r="M1" s="7" t="s">
        <v>45</v>
      </c>
      <c r="N1" s="7" t="s">
        <v>46</v>
      </c>
    </row>
    <row r="2" customFormat="false" ht="23.85" hidden="false" customHeight="false" outlineLevel="0" collapsed="false">
      <c r="A2" s="8" t="s">
        <v>47</v>
      </c>
      <c r="B2" s="8" t="s">
        <v>48</v>
      </c>
      <c r="C2" s="8" t="s">
        <v>49</v>
      </c>
      <c r="D2" s="8" t="s">
        <v>50</v>
      </c>
      <c r="E2" s="8" t="s">
        <v>51</v>
      </c>
      <c r="F2" s="10" t="n">
        <v>0.99</v>
      </c>
      <c r="G2" s="9"/>
      <c r="H2" s="10" t="n">
        <v>0.9736</v>
      </c>
      <c r="I2" s="8" t="s">
        <v>52</v>
      </c>
      <c r="J2" s="8" t="s">
        <v>53</v>
      </c>
      <c r="K2" s="8" t="s">
        <v>54</v>
      </c>
      <c r="L2" s="8" t="s">
        <v>55</v>
      </c>
      <c r="M2" s="8" t="s">
        <v>56</v>
      </c>
      <c r="N2" s="8" t="s">
        <v>57</v>
      </c>
    </row>
    <row r="3" customFormat="false" ht="23.85" hidden="false" customHeight="false" outlineLevel="0" collapsed="false">
      <c r="A3" s="8" t="s">
        <v>58</v>
      </c>
      <c r="B3" s="8" t="s">
        <v>59</v>
      </c>
      <c r="C3" s="8" t="s">
        <v>49</v>
      </c>
      <c r="D3" s="8" t="s">
        <v>60</v>
      </c>
      <c r="E3" s="8" t="s">
        <v>61</v>
      </c>
      <c r="F3" s="8" t="n">
        <v>29</v>
      </c>
      <c r="G3" s="9" t="n">
        <v>46477</v>
      </c>
      <c r="H3" s="8" t="n">
        <v>146</v>
      </c>
      <c r="I3" s="8" t="s">
        <v>62</v>
      </c>
      <c r="J3" s="8" t="s">
        <v>53</v>
      </c>
      <c r="K3" s="8" t="s">
        <v>63</v>
      </c>
      <c r="L3" s="8" t="s">
        <v>64</v>
      </c>
      <c r="M3" s="8" t="s">
        <v>65</v>
      </c>
      <c r="N3" s="8" t="s">
        <v>57</v>
      </c>
    </row>
    <row r="4" customFormat="false" ht="23.85" hidden="false" customHeight="false" outlineLevel="0" collapsed="false">
      <c r="A4" s="8" t="s">
        <v>66</v>
      </c>
      <c r="B4" s="8" t="s">
        <v>67</v>
      </c>
      <c r="C4" s="8" t="s">
        <v>49</v>
      </c>
      <c r="D4" s="8" t="s">
        <v>50</v>
      </c>
      <c r="E4" s="8" t="s">
        <v>51</v>
      </c>
      <c r="F4" s="10" t="n">
        <v>1</v>
      </c>
      <c r="G4" s="9" t="n">
        <v>46660</v>
      </c>
      <c r="H4" s="10" t="n">
        <v>0</v>
      </c>
      <c r="I4" s="8" t="s">
        <v>68</v>
      </c>
      <c r="J4" s="8" t="s">
        <v>53</v>
      </c>
      <c r="K4" s="8" t="s">
        <v>69</v>
      </c>
      <c r="L4" s="8" t="s">
        <v>70</v>
      </c>
      <c r="M4" s="8" t="s">
        <v>71</v>
      </c>
      <c r="N4" s="8" t="s">
        <v>57</v>
      </c>
    </row>
    <row r="5" customFormat="false" ht="23.85" hidden="false" customHeight="false" outlineLevel="0" collapsed="false">
      <c r="A5" s="8" t="s">
        <v>72</v>
      </c>
      <c r="B5" s="8" t="s">
        <v>73</v>
      </c>
      <c r="C5" s="8" t="s">
        <v>49</v>
      </c>
      <c r="D5" s="8" t="s">
        <v>74</v>
      </c>
      <c r="E5" s="8" t="s">
        <v>61</v>
      </c>
      <c r="F5" s="8" t="n">
        <v>0</v>
      </c>
      <c r="G5" s="9" t="n">
        <v>46356</v>
      </c>
      <c r="H5" s="8" t="n">
        <v>14</v>
      </c>
      <c r="I5" s="8" t="s">
        <v>75</v>
      </c>
      <c r="J5" s="8" t="s">
        <v>53</v>
      </c>
      <c r="K5" s="8" t="s">
        <v>69</v>
      </c>
      <c r="L5" s="8" t="s">
        <v>76</v>
      </c>
      <c r="M5" s="8" t="s">
        <v>77</v>
      </c>
      <c r="N5" s="8" t="s">
        <v>57</v>
      </c>
    </row>
    <row r="6" customFormat="false" ht="23.85" hidden="false" customHeight="false" outlineLevel="0" collapsed="false">
      <c r="A6" s="8" t="s">
        <v>78</v>
      </c>
      <c r="B6" s="8" t="s">
        <v>79</v>
      </c>
      <c r="C6" s="8" t="s">
        <v>80</v>
      </c>
      <c r="D6" s="8" t="s">
        <v>81</v>
      </c>
      <c r="E6" s="8" t="s">
        <v>61</v>
      </c>
      <c r="F6" s="8" t="n">
        <v>4</v>
      </c>
      <c r="G6" s="9"/>
      <c r="H6" s="8"/>
      <c r="I6" s="8" t="s">
        <v>82</v>
      </c>
      <c r="J6" s="8" t="s">
        <v>83</v>
      </c>
      <c r="K6" s="8" t="s">
        <v>54</v>
      </c>
      <c r="L6" s="8" t="s">
        <v>84</v>
      </c>
      <c r="M6" s="8" t="s">
        <v>56</v>
      </c>
      <c r="N6" s="8" t="s">
        <v>57</v>
      </c>
    </row>
    <row r="7" customFormat="false" ht="23.85" hidden="false" customHeight="false" outlineLevel="0" collapsed="false">
      <c r="A7" s="8" t="s">
        <v>85</v>
      </c>
      <c r="B7" s="8" t="s">
        <v>86</v>
      </c>
      <c r="C7" s="8" t="s">
        <v>80</v>
      </c>
      <c r="D7" s="8" t="s">
        <v>87</v>
      </c>
      <c r="E7" s="8" t="s">
        <v>61</v>
      </c>
      <c r="F7" s="8"/>
      <c r="G7" s="9"/>
      <c r="H7" s="8" t="n">
        <v>7</v>
      </c>
      <c r="I7" s="8" t="s">
        <v>62</v>
      </c>
      <c r="J7" s="8" t="s">
        <v>53</v>
      </c>
      <c r="K7" s="8" t="s">
        <v>88</v>
      </c>
      <c r="L7" s="8" t="s">
        <v>89</v>
      </c>
      <c r="M7" s="8" t="s">
        <v>65</v>
      </c>
      <c r="N7" s="8" t="s">
        <v>90</v>
      </c>
    </row>
    <row r="8" customFormat="false" ht="15" hidden="false" customHeight="false" outlineLevel="0" collapsed="false">
      <c r="A8" s="8" t="s">
        <v>91</v>
      </c>
      <c r="B8" s="8" t="s">
        <v>92</v>
      </c>
      <c r="C8" s="8" t="s">
        <v>80</v>
      </c>
      <c r="D8" s="8" t="s">
        <v>50</v>
      </c>
      <c r="E8" s="8" t="s">
        <v>51</v>
      </c>
      <c r="F8" s="10" t="n">
        <v>1</v>
      </c>
      <c r="G8" s="9" t="n">
        <v>46387</v>
      </c>
      <c r="H8" s="10" t="n">
        <v>0</v>
      </c>
      <c r="I8" s="8" t="s">
        <v>93</v>
      </c>
      <c r="J8" s="8" t="s">
        <v>53</v>
      </c>
      <c r="K8" s="8" t="s">
        <v>69</v>
      </c>
      <c r="L8" s="8" t="s">
        <v>94</v>
      </c>
      <c r="M8" s="8" t="s">
        <v>71</v>
      </c>
      <c r="N8" s="8" t="s">
        <v>57</v>
      </c>
    </row>
    <row r="9" customFormat="false" ht="23.85" hidden="false" customHeight="false" outlineLevel="0" collapsed="false">
      <c r="A9" s="8" t="s">
        <v>95</v>
      </c>
      <c r="B9" s="8" t="s">
        <v>96</v>
      </c>
      <c r="C9" s="8" t="s">
        <v>80</v>
      </c>
      <c r="D9" s="8" t="s">
        <v>97</v>
      </c>
      <c r="E9" s="8" t="s">
        <v>51</v>
      </c>
      <c r="F9" s="8" t="n">
        <v>1</v>
      </c>
      <c r="G9" s="9" t="n">
        <v>46387</v>
      </c>
      <c r="H9" s="8" t="n">
        <v>0</v>
      </c>
      <c r="I9" s="8" t="s">
        <v>98</v>
      </c>
      <c r="J9" s="8" t="s">
        <v>99</v>
      </c>
      <c r="K9" s="8" t="s">
        <v>54</v>
      </c>
      <c r="L9" s="8" t="s">
        <v>100</v>
      </c>
      <c r="M9" s="8"/>
      <c r="N9" s="8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4"/>
    <col collapsed="false" customWidth="true" hidden="false" outlineLevel="0" max="9" min="9" style="0" width="20"/>
    <col collapsed="false" customWidth="true" hidden="false" outlineLevel="0" max="10" min="10" style="0" width="44"/>
  </cols>
  <sheetData>
    <row r="1" customFormat="false" ht="30" hidden="false" customHeight="true" outlineLevel="0" collapsed="false">
      <c r="A1" s="7" t="s">
        <v>101</v>
      </c>
      <c r="B1" s="7" t="s">
        <v>33</v>
      </c>
      <c r="C1" s="7" t="s">
        <v>102</v>
      </c>
      <c r="D1" s="7" t="s">
        <v>103</v>
      </c>
      <c r="E1" s="7" t="s">
        <v>104</v>
      </c>
      <c r="F1" s="7" t="s">
        <v>29</v>
      </c>
      <c r="G1" s="7" t="s">
        <v>38</v>
      </c>
      <c r="H1" s="7" t="s">
        <v>105</v>
      </c>
      <c r="I1" s="7" t="s">
        <v>46</v>
      </c>
      <c r="J1" s="7" t="s">
        <v>30</v>
      </c>
    </row>
    <row r="2" customFormat="false" ht="15" hidden="false" customHeight="false" outlineLevel="0" collapsed="false">
      <c r="A2" s="8" t="s">
        <v>106</v>
      </c>
      <c r="B2" s="8" t="s">
        <v>47</v>
      </c>
      <c r="C2" s="11" t="n">
        <v>46266</v>
      </c>
      <c r="D2" s="8" t="n">
        <v>701</v>
      </c>
      <c r="E2" s="8" t="n">
        <v>720</v>
      </c>
      <c r="F2" s="12" t="n">
        <f aca="false">IF(E2="",D2,D2/E2)</f>
        <v>0.973611111111111</v>
      </c>
      <c r="G2" s="13" t="n">
        <f aca="false">IF(INDEX(Indicadores!$F$2:$F$9,MATCH($B2,Indicadores!$A$2:$A$9,0))="","",INDEX(Indicadores!$F$2:$F$9,MATCH($B2,Indicadores!$A$2:$A$9,0)))</f>
        <v>0.99</v>
      </c>
      <c r="H2" s="14" t="str">
        <f aca="false">IF(G2="","Sem meta",IF(IF(INDEX(Indicadores!$E$2:$E$9,MATCH($B2,Indicadores!$A$2:$A$9,0))="Maior é melhor",F2&gt;=G2,F2&lt;=G2),"Atendido",IF(AND(INDEX(Indicadores!$G$2:$G$9,MATCH($B2,Indicadores!$A$2:$A$9,0))&lt;&gt;"",INDEX(Indicadores!$G$2:$G$9,MATCH($B2,Indicadores!$A$2:$A$9,0))&gt;EOMONTH(C2,0)),"Em atenção","Não atendido")))</f>
        <v>Não atendido</v>
      </c>
      <c r="I2" s="8" t="s">
        <v>107</v>
      </c>
      <c r="J2" s="8" t="s">
        <v>108</v>
      </c>
    </row>
    <row r="3" customFormat="false" ht="15" hidden="false" customHeight="false" outlineLevel="0" collapsed="false">
      <c r="A3" s="8" t="s">
        <v>109</v>
      </c>
      <c r="B3" s="8" t="s">
        <v>47</v>
      </c>
      <c r="C3" s="11" t="n">
        <v>46296</v>
      </c>
      <c r="D3" s="8" t="n">
        <v>730</v>
      </c>
      <c r="E3" s="8" t="n">
        <v>744</v>
      </c>
      <c r="F3" s="12" t="n">
        <f aca="false">IF(E3="",D3,D3/E3)</f>
        <v>0.981182795698925</v>
      </c>
      <c r="G3" s="13" t="n">
        <f aca="false">IF(INDEX(Indicadores!$F$2:$F$9,MATCH($B3,Indicadores!$A$2:$A$9,0))="","",INDEX(Indicadores!$F$2:$F$9,MATCH($B3,Indicadores!$A$2:$A$9,0)))</f>
        <v>0.99</v>
      </c>
      <c r="H3" s="14" t="str">
        <f aca="false">IF(G3="","Sem meta",IF(IF(INDEX(Indicadores!$E$2:$E$9,MATCH($B3,Indicadores!$A$2:$A$9,0))="Maior é melhor",F3&gt;=G3,F3&lt;=G3),"Atendido",IF(AND(INDEX(Indicadores!$G$2:$G$9,MATCH($B3,Indicadores!$A$2:$A$9,0))&lt;&gt;"",INDEX(Indicadores!$G$2:$G$9,MATCH($B3,Indicadores!$A$2:$A$9,0))&gt;EOMONTH(C3,0)),"Em atenção","Não atendido")))</f>
        <v>Não atendido</v>
      </c>
      <c r="I3" s="8" t="s">
        <v>107</v>
      </c>
      <c r="J3" s="8" t="s">
        <v>110</v>
      </c>
    </row>
    <row r="4" customFormat="false" ht="15" hidden="false" customHeight="false" outlineLevel="0" collapsed="false">
      <c r="A4" s="8" t="s">
        <v>111</v>
      </c>
      <c r="B4" s="8" t="s">
        <v>47</v>
      </c>
      <c r="C4" s="11" t="n">
        <v>46327</v>
      </c>
      <c r="D4" s="8" t="n">
        <v>714</v>
      </c>
      <c r="E4" s="8" t="n">
        <v>720</v>
      </c>
      <c r="F4" s="12" t="n">
        <f aca="false">IF(E4="",D4,D4/E4)</f>
        <v>0.991666666666667</v>
      </c>
      <c r="G4" s="13" t="n">
        <f aca="false">IF(INDEX(Indicadores!$F$2:$F$9,MATCH($B4,Indicadores!$A$2:$A$9,0))="","",INDEX(Indicadores!$F$2:$F$9,MATCH($B4,Indicadores!$A$2:$A$9,0)))</f>
        <v>0.99</v>
      </c>
      <c r="H4" s="14" t="str">
        <f aca="false">IF(G4="","Sem meta",IF(IF(INDEX(Indicadores!$E$2:$E$9,MATCH($B4,Indicadores!$A$2:$A$9,0))="Maior é melhor",F4&gt;=G4,F4&lt;=G4),"Atendido",IF(AND(INDEX(Indicadores!$G$2:$G$9,MATCH($B4,Indicadores!$A$2:$A$9,0))&lt;&gt;"",INDEX(Indicadores!$G$2:$G$9,MATCH($B4,Indicadores!$A$2:$A$9,0))&gt;EOMONTH(C4,0)),"Em atenção","Não atendido")))</f>
        <v>Atendido</v>
      </c>
      <c r="I4" s="8" t="s">
        <v>107</v>
      </c>
      <c r="J4" s="8" t="s">
        <v>112</v>
      </c>
    </row>
    <row r="5" customFormat="false" ht="15" hidden="false" customHeight="false" outlineLevel="0" collapsed="false">
      <c r="A5" s="8" t="s">
        <v>113</v>
      </c>
      <c r="B5" s="8" t="s">
        <v>47</v>
      </c>
      <c r="C5" s="11" t="n">
        <v>46357</v>
      </c>
      <c r="D5" s="8" t="n">
        <v>733.5</v>
      </c>
      <c r="E5" s="8" t="n">
        <v>744</v>
      </c>
      <c r="F5" s="12" t="n">
        <f aca="false">IF(E5="",D5,D5/E5)</f>
        <v>0.985887096774194</v>
      </c>
      <c r="G5" s="13" t="n">
        <f aca="false">IF(INDEX(Indicadores!$F$2:$F$9,MATCH($B5,Indicadores!$A$2:$A$9,0))="","",INDEX(Indicadores!$F$2:$F$9,MATCH($B5,Indicadores!$A$2:$A$9,0)))</f>
        <v>0.99</v>
      </c>
      <c r="H5" s="14" t="str">
        <f aca="false">IF(G5="","Sem meta",IF(IF(INDEX(Indicadores!$E$2:$E$9,MATCH($B5,Indicadores!$A$2:$A$9,0))="Maior é melhor",F5&gt;=G5,F5&lt;=G5),"Atendido",IF(AND(INDEX(Indicadores!$G$2:$G$9,MATCH($B5,Indicadores!$A$2:$A$9,0))&lt;&gt;"",INDEX(Indicadores!$G$2:$G$9,MATCH($B5,Indicadores!$A$2:$A$9,0))&gt;EOMONTH(C5,0)),"Em atenção","Não atendido")))</f>
        <v>Não atendido</v>
      </c>
      <c r="I5" s="8" t="s">
        <v>107</v>
      </c>
      <c r="J5" s="8" t="s">
        <v>114</v>
      </c>
    </row>
    <row r="6" customFormat="false" ht="15" hidden="false" customHeight="false" outlineLevel="0" collapsed="false">
      <c r="A6" s="8" t="s">
        <v>115</v>
      </c>
      <c r="B6" s="8" t="s">
        <v>58</v>
      </c>
      <c r="C6" s="11" t="n">
        <v>46266</v>
      </c>
      <c r="D6" s="8" t="n">
        <v>146</v>
      </c>
      <c r="E6" s="8"/>
      <c r="F6" s="12" t="n">
        <f aca="false">IF(E6="",D6,D6/E6)</f>
        <v>146</v>
      </c>
      <c r="G6" s="13" t="n">
        <f aca="false">IF(INDEX(Indicadores!$F$2:$F$9,MATCH($B6,Indicadores!$A$2:$A$9,0))="","",INDEX(Indicadores!$F$2:$F$9,MATCH($B6,Indicadores!$A$2:$A$9,0)))</f>
        <v>29</v>
      </c>
      <c r="H6" s="14" t="str">
        <f aca="false">IF(G6="","Sem meta",IF(IF(INDEX(Indicadores!$E$2:$E$9,MATCH($B6,Indicadores!$A$2:$A$9,0))="Maior é melhor",F6&gt;=G6,F6&lt;=G6),"Atendido",IF(AND(INDEX(Indicadores!$G$2:$G$9,MATCH($B6,Indicadores!$A$2:$A$9,0))&lt;&gt;"",INDEX(Indicadores!$G$2:$G$9,MATCH($B6,Indicadores!$A$2:$A$9,0))&gt;EOMONTH(C6,0)),"Em atenção","Não atendido")))</f>
        <v>Em atenção</v>
      </c>
      <c r="I6" s="8" t="s">
        <v>107</v>
      </c>
      <c r="J6" s="8" t="s">
        <v>116</v>
      </c>
    </row>
    <row r="7" customFormat="false" ht="15" hidden="false" customHeight="false" outlineLevel="0" collapsed="false">
      <c r="A7" s="8" t="s">
        <v>117</v>
      </c>
      <c r="B7" s="8" t="s">
        <v>58</v>
      </c>
      <c r="C7" s="11" t="n">
        <v>46296</v>
      </c>
      <c r="D7" s="8" t="n">
        <v>131</v>
      </c>
      <c r="E7" s="8"/>
      <c r="F7" s="12" t="n">
        <f aca="false">IF(E7="",D7,D7/E7)</f>
        <v>131</v>
      </c>
      <c r="G7" s="13" t="n">
        <f aca="false">IF(INDEX(Indicadores!$F$2:$F$9,MATCH($B7,Indicadores!$A$2:$A$9,0))="","",INDEX(Indicadores!$F$2:$F$9,MATCH($B7,Indicadores!$A$2:$A$9,0)))</f>
        <v>29</v>
      </c>
      <c r="H7" s="14" t="str">
        <f aca="false">IF(G7="","Sem meta",IF(IF(INDEX(Indicadores!$E$2:$E$9,MATCH($B7,Indicadores!$A$2:$A$9,0))="Maior é melhor",F7&gt;=G7,F7&lt;=G7),"Atendido",IF(AND(INDEX(Indicadores!$G$2:$G$9,MATCH($B7,Indicadores!$A$2:$A$9,0))&lt;&gt;"",INDEX(Indicadores!$G$2:$G$9,MATCH($B7,Indicadores!$A$2:$A$9,0))&gt;EOMONTH(C7,0)),"Em atenção","Não atendido")))</f>
        <v>Em atenção</v>
      </c>
      <c r="I7" s="8" t="s">
        <v>107</v>
      </c>
      <c r="J7" s="8"/>
    </row>
    <row r="8" customFormat="false" ht="15" hidden="false" customHeight="false" outlineLevel="0" collapsed="false">
      <c r="A8" s="8" t="s">
        <v>118</v>
      </c>
      <c r="B8" s="8" t="s">
        <v>58</v>
      </c>
      <c r="C8" s="11" t="n">
        <v>46327</v>
      </c>
      <c r="D8" s="8" t="n">
        <v>88</v>
      </c>
      <c r="E8" s="8"/>
      <c r="F8" s="12" t="n">
        <f aca="false">IF(E8="",D8,D8/E8)</f>
        <v>88</v>
      </c>
      <c r="G8" s="13" t="n">
        <f aca="false">IF(INDEX(Indicadores!$F$2:$F$9,MATCH($B8,Indicadores!$A$2:$A$9,0))="","",INDEX(Indicadores!$F$2:$F$9,MATCH($B8,Indicadores!$A$2:$A$9,0)))</f>
        <v>29</v>
      </c>
      <c r="H8" s="14" t="str">
        <f aca="false">IF(G8="","Sem meta",IF(IF(INDEX(Indicadores!$E$2:$E$9,MATCH($B8,Indicadores!$A$2:$A$9,0))="Maior é melhor",F8&gt;=G8,F8&lt;=G8),"Atendido",IF(AND(INDEX(Indicadores!$G$2:$G$9,MATCH($B8,Indicadores!$A$2:$A$9,0))&lt;&gt;"",INDEX(Indicadores!$G$2:$G$9,MATCH($B8,Indicadores!$A$2:$A$9,0))&gt;EOMONTH(C8,0)),"Em atenção","Não atendido")))</f>
        <v>Em atenção</v>
      </c>
      <c r="I8" s="8" t="s">
        <v>107</v>
      </c>
      <c r="J8" s="8" t="s">
        <v>119</v>
      </c>
    </row>
    <row r="9" customFormat="false" ht="15" hidden="false" customHeight="false" outlineLevel="0" collapsed="false">
      <c r="A9" s="8" t="s">
        <v>120</v>
      </c>
      <c r="B9" s="8" t="s">
        <v>58</v>
      </c>
      <c r="C9" s="11" t="n">
        <v>46357</v>
      </c>
      <c r="D9" s="8" t="n">
        <v>64</v>
      </c>
      <c r="E9" s="8"/>
      <c r="F9" s="12" t="n">
        <f aca="false">IF(E9="",D9,D9/E9)</f>
        <v>64</v>
      </c>
      <c r="G9" s="13" t="n">
        <f aca="false">IF(INDEX(Indicadores!$F$2:$F$9,MATCH($B9,Indicadores!$A$2:$A$9,0))="","",INDEX(Indicadores!$F$2:$F$9,MATCH($B9,Indicadores!$A$2:$A$9,0)))</f>
        <v>29</v>
      </c>
      <c r="H9" s="14" t="str">
        <f aca="false">IF(G9="","Sem meta",IF(IF(INDEX(Indicadores!$E$2:$E$9,MATCH($B9,Indicadores!$A$2:$A$9,0))="Maior é melhor",F9&gt;=G9,F9&lt;=G9),"Atendido",IF(AND(INDEX(Indicadores!$G$2:$G$9,MATCH($B9,Indicadores!$A$2:$A$9,0))&lt;&gt;"",INDEX(Indicadores!$G$2:$G$9,MATCH($B9,Indicadores!$A$2:$A$9,0))&gt;EOMONTH(C9,0)),"Em atenção","Não atendido")))</f>
        <v>Em atenção</v>
      </c>
      <c r="I9" s="8" t="s">
        <v>107</v>
      </c>
      <c r="J9" s="8"/>
    </row>
    <row r="10" customFormat="false" ht="15" hidden="false" customHeight="false" outlineLevel="0" collapsed="false">
      <c r="A10" s="8" t="s">
        <v>121</v>
      </c>
      <c r="B10" s="8" t="s">
        <v>66</v>
      </c>
      <c r="C10" s="11" t="n">
        <v>46296</v>
      </c>
      <c r="D10" s="8" t="n">
        <v>1</v>
      </c>
      <c r="E10" s="8" t="n">
        <v>1</v>
      </c>
      <c r="F10" s="12" t="n">
        <f aca="false">IF(E10="",D10,D10/E10)</f>
        <v>1</v>
      </c>
      <c r="G10" s="13" t="n">
        <f aca="false">IF(INDEX(Indicadores!$F$2:$F$9,MATCH($B10,Indicadores!$A$2:$A$9,0))="","",INDEX(Indicadores!$F$2:$F$9,MATCH($B10,Indicadores!$A$2:$A$9,0)))</f>
        <v>1</v>
      </c>
      <c r="H10" s="14" t="str">
        <f aca="false">IF(G10="","Sem meta",IF(IF(INDEX(Indicadores!$E$2:$E$9,MATCH($B10,Indicadores!$A$2:$A$9,0))="Maior é melhor",F10&gt;=G10,F10&lt;=G10),"Atendido",IF(AND(INDEX(Indicadores!$G$2:$G$9,MATCH($B10,Indicadores!$A$2:$A$9,0))&lt;&gt;"",INDEX(Indicadores!$G$2:$G$9,MATCH($B10,Indicadores!$A$2:$A$9,0))&gt;EOMONTH(C10,0)),"Em atenção","Não atendido")))</f>
        <v>Atendido</v>
      </c>
      <c r="I10" s="8" t="s">
        <v>107</v>
      </c>
      <c r="J10" s="8" t="s">
        <v>122</v>
      </c>
    </row>
    <row r="11" customFormat="false" ht="15" hidden="false" customHeight="false" outlineLevel="0" collapsed="false">
      <c r="A11" s="8" t="s">
        <v>123</v>
      </c>
      <c r="B11" s="8" t="s">
        <v>66</v>
      </c>
      <c r="C11" s="11" t="n">
        <v>46327</v>
      </c>
      <c r="D11" s="8" t="n">
        <v>1</v>
      </c>
      <c r="E11" s="8" t="n">
        <v>2</v>
      </c>
      <c r="F11" s="12" t="n">
        <f aca="false">IF(E11="",D11,D11/E11)</f>
        <v>0.5</v>
      </c>
      <c r="G11" s="13" t="n">
        <f aca="false">IF(INDEX(Indicadores!$F$2:$F$9,MATCH($B11,Indicadores!$A$2:$A$9,0))="","",INDEX(Indicadores!$F$2:$F$9,MATCH($B11,Indicadores!$A$2:$A$9,0)))</f>
        <v>1</v>
      </c>
      <c r="H11" s="14" t="str">
        <f aca="false">IF(G11="","Sem meta",IF(IF(INDEX(Indicadores!$E$2:$E$9,MATCH($B11,Indicadores!$A$2:$A$9,0))="Maior é melhor",F11&gt;=G11,F11&lt;=G11),"Atendido",IF(AND(INDEX(Indicadores!$G$2:$G$9,MATCH($B11,Indicadores!$A$2:$A$9,0))&lt;&gt;"",INDEX(Indicadores!$G$2:$G$9,MATCH($B11,Indicadores!$A$2:$A$9,0))&gt;EOMONTH(C11,0)),"Em atenção","Não atendido")))</f>
        <v>Em atenção</v>
      </c>
      <c r="I11" s="8" t="s">
        <v>107</v>
      </c>
      <c r="J11" s="8" t="s">
        <v>124</v>
      </c>
    </row>
    <row r="12" customFormat="false" ht="15" hidden="false" customHeight="false" outlineLevel="0" collapsed="false">
      <c r="A12" s="8" t="s">
        <v>125</v>
      </c>
      <c r="B12" s="8" t="s">
        <v>66</v>
      </c>
      <c r="C12" s="11" t="n">
        <v>46357</v>
      </c>
      <c r="D12" s="8" t="n">
        <v>2</v>
      </c>
      <c r="E12" s="8" t="n">
        <v>3</v>
      </c>
      <c r="F12" s="12" t="n">
        <f aca="false">IF(E12="",D12,D12/E12)</f>
        <v>0.666666666666667</v>
      </c>
      <c r="G12" s="13" t="n">
        <f aca="false">IF(INDEX(Indicadores!$F$2:$F$9,MATCH($B12,Indicadores!$A$2:$A$9,0))="","",INDEX(Indicadores!$F$2:$F$9,MATCH($B12,Indicadores!$A$2:$A$9,0)))</f>
        <v>1</v>
      </c>
      <c r="H12" s="14" t="str">
        <f aca="false">IF(G12="","Sem meta",IF(IF(INDEX(Indicadores!$E$2:$E$9,MATCH($B12,Indicadores!$A$2:$A$9,0))="Maior é melhor",F12&gt;=G12,F12&lt;=G12),"Atendido",IF(AND(INDEX(Indicadores!$G$2:$G$9,MATCH($B12,Indicadores!$A$2:$A$9,0))&lt;&gt;"",INDEX(Indicadores!$G$2:$G$9,MATCH($B12,Indicadores!$A$2:$A$9,0))&gt;EOMONTH(C12,0)),"Em atenção","Não atendido")))</f>
        <v>Em atenção</v>
      </c>
      <c r="I12" s="8" t="s">
        <v>107</v>
      </c>
      <c r="J12" s="8" t="s">
        <v>126</v>
      </c>
    </row>
    <row r="13" customFormat="false" ht="15" hidden="false" customHeight="false" outlineLevel="0" collapsed="false">
      <c r="A13" s="8" t="s">
        <v>127</v>
      </c>
      <c r="B13" s="8" t="s">
        <v>72</v>
      </c>
      <c r="C13" s="11" t="n">
        <v>46266</v>
      </c>
      <c r="D13" s="8" t="n">
        <v>14</v>
      </c>
      <c r="E13" s="8"/>
      <c r="F13" s="12" t="n">
        <f aca="false">IF(E13="",D13,D13/E13)</f>
        <v>14</v>
      </c>
      <c r="G13" s="13" t="n">
        <f aca="false">IF(INDEX(Indicadores!$F$2:$F$9,MATCH($B13,Indicadores!$A$2:$A$9,0))="","",INDEX(Indicadores!$F$2:$F$9,MATCH($B13,Indicadores!$A$2:$A$9,0)))</f>
        <v>0</v>
      </c>
      <c r="H13" s="14" t="str">
        <f aca="false">IF(G13="","Sem meta",IF(IF(INDEX(Indicadores!$E$2:$E$9,MATCH($B13,Indicadores!$A$2:$A$9,0))="Maior é melhor",F13&gt;=G13,F13&lt;=G13),"Atendido",IF(AND(INDEX(Indicadores!$G$2:$G$9,MATCH($B13,Indicadores!$A$2:$A$9,0))&lt;&gt;"",INDEX(Indicadores!$G$2:$G$9,MATCH($B13,Indicadores!$A$2:$A$9,0))&gt;EOMONTH(C13,0)),"Em atenção","Não atendido")))</f>
        <v>Em atenção</v>
      </c>
      <c r="I13" s="8" t="s">
        <v>107</v>
      </c>
      <c r="J13" s="8" t="s">
        <v>128</v>
      </c>
    </row>
    <row r="14" customFormat="false" ht="15" hidden="false" customHeight="false" outlineLevel="0" collapsed="false">
      <c r="A14" s="8" t="s">
        <v>129</v>
      </c>
      <c r="B14" s="8" t="s">
        <v>72</v>
      </c>
      <c r="C14" s="11" t="n">
        <v>46296</v>
      </c>
      <c r="D14" s="8" t="n">
        <v>14</v>
      </c>
      <c r="E14" s="8"/>
      <c r="F14" s="12" t="n">
        <f aca="false">IF(E14="",D14,D14/E14)</f>
        <v>14</v>
      </c>
      <c r="G14" s="13" t="n">
        <f aca="false">IF(INDEX(Indicadores!$F$2:$F$9,MATCH($B14,Indicadores!$A$2:$A$9,0))="","",INDEX(Indicadores!$F$2:$F$9,MATCH($B14,Indicadores!$A$2:$A$9,0)))</f>
        <v>0</v>
      </c>
      <c r="H14" s="14" t="str">
        <f aca="false">IF(G14="","Sem meta",IF(IF(INDEX(Indicadores!$E$2:$E$9,MATCH($B14,Indicadores!$A$2:$A$9,0))="Maior é melhor",F14&gt;=G14,F14&lt;=G14),"Atendido",IF(AND(INDEX(Indicadores!$G$2:$G$9,MATCH($B14,Indicadores!$A$2:$A$9,0))&lt;&gt;"",INDEX(Indicadores!$G$2:$G$9,MATCH($B14,Indicadores!$A$2:$A$9,0))&gt;EOMONTH(C14,0)),"Em atenção","Não atendido")))</f>
        <v>Em atenção</v>
      </c>
      <c r="I14" s="8" t="s">
        <v>107</v>
      </c>
      <c r="J14" s="8" t="s">
        <v>130</v>
      </c>
    </row>
    <row r="15" customFormat="false" ht="15" hidden="false" customHeight="false" outlineLevel="0" collapsed="false">
      <c r="A15" s="8" t="s">
        <v>131</v>
      </c>
      <c r="B15" s="8" t="s">
        <v>72</v>
      </c>
      <c r="C15" s="11" t="n">
        <v>46327</v>
      </c>
      <c r="D15" s="8" t="n">
        <v>9</v>
      </c>
      <c r="E15" s="8"/>
      <c r="F15" s="12" t="n">
        <f aca="false">IF(E15="",D15,D15/E15)</f>
        <v>9</v>
      </c>
      <c r="G15" s="13" t="n">
        <f aca="false">IF(INDEX(Indicadores!$F$2:$F$9,MATCH($B15,Indicadores!$A$2:$A$9,0))="","",INDEX(Indicadores!$F$2:$F$9,MATCH($B15,Indicadores!$A$2:$A$9,0)))</f>
        <v>0</v>
      </c>
      <c r="H15" s="14" t="str">
        <f aca="false">IF(G15="","Sem meta",IF(IF(INDEX(Indicadores!$E$2:$E$9,MATCH($B15,Indicadores!$A$2:$A$9,0))="Maior é melhor",F15&gt;=G15,F15&lt;=G15),"Atendido",IF(AND(INDEX(Indicadores!$G$2:$G$9,MATCH($B15,Indicadores!$A$2:$A$9,0))&lt;&gt;"",INDEX(Indicadores!$G$2:$G$9,MATCH($B15,Indicadores!$A$2:$A$9,0))&gt;EOMONTH(C15,0)),"Em atenção","Não atendido")))</f>
        <v>Não atendido</v>
      </c>
      <c r="I15" s="8" t="s">
        <v>107</v>
      </c>
      <c r="J15" s="8"/>
    </row>
    <row r="16" customFormat="false" ht="15" hidden="false" customHeight="false" outlineLevel="0" collapsed="false">
      <c r="A16" s="8" t="s">
        <v>132</v>
      </c>
      <c r="B16" s="8" t="s">
        <v>72</v>
      </c>
      <c r="C16" s="11" t="n">
        <v>46357</v>
      </c>
      <c r="D16" s="8" t="n">
        <v>6</v>
      </c>
      <c r="E16" s="8"/>
      <c r="F16" s="12" t="n">
        <f aca="false">IF(E16="",D16,D16/E16)</f>
        <v>6</v>
      </c>
      <c r="G16" s="13" t="n">
        <f aca="false">IF(INDEX(Indicadores!$F$2:$F$9,MATCH($B16,Indicadores!$A$2:$A$9,0))="","",INDEX(Indicadores!$F$2:$F$9,MATCH($B16,Indicadores!$A$2:$A$9,0)))</f>
        <v>0</v>
      </c>
      <c r="H16" s="14" t="str">
        <f aca="false">IF(G16="","Sem meta",IF(IF(INDEX(Indicadores!$E$2:$E$9,MATCH($B16,Indicadores!$A$2:$A$9,0))="Maior é melhor",F16&gt;=G16,F16&lt;=G16),"Atendido",IF(AND(INDEX(Indicadores!$G$2:$G$9,MATCH($B16,Indicadores!$A$2:$A$9,0))&lt;&gt;"",INDEX(Indicadores!$G$2:$G$9,MATCH($B16,Indicadores!$A$2:$A$9,0))&gt;EOMONTH(C16,0)),"Em atenção","Não atendido")))</f>
        <v>Não atendido</v>
      </c>
      <c r="I16" s="8" t="s">
        <v>107</v>
      </c>
      <c r="J16" s="8" t="s">
        <v>133</v>
      </c>
    </row>
    <row r="17" customFormat="false" ht="15" hidden="false" customHeight="false" outlineLevel="0" collapsed="false">
      <c r="A17" s="8" t="s">
        <v>134</v>
      </c>
      <c r="B17" s="8" t="s">
        <v>78</v>
      </c>
      <c r="C17" s="11" t="n">
        <v>46327</v>
      </c>
      <c r="D17" s="8" t="n">
        <v>2</v>
      </c>
      <c r="E17" s="8"/>
      <c r="F17" s="12" t="n">
        <f aca="false">IF(E17="",D17,D17/E17)</f>
        <v>2</v>
      </c>
      <c r="G17" s="13" t="n">
        <f aca="false">IF(INDEX(Indicadores!$F$2:$F$9,MATCH($B17,Indicadores!$A$2:$A$9,0))="","",INDEX(Indicadores!$F$2:$F$9,MATCH($B17,Indicadores!$A$2:$A$9,0)))</f>
        <v>4</v>
      </c>
      <c r="H17" s="14" t="str">
        <f aca="false">IF(G17="","Sem meta",IF(IF(INDEX(Indicadores!$E$2:$E$9,MATCH($B17,Indicadores!$A$2:$A$9,0))="Maior é melhor",F17&gt;=G17,F17&lt;=G17),"Atendido",IF(AND(INDEX(Indicadores!$G$2:$G$9,MATCH($B17,Indicadores!$A$2:$A$9,0))&lt;&gt;"",INDEX(Indicadores!$G$2:$G$9,MATCH($B17,Indicadores!$A$2:$A$9,0))&gt;EOMONTH(C17,0)),"Em atenção","Não atendido")))</f>
        <v>Atendido</v>
      </c>
      <c r="I17" s="8" t="s">
        <v>107</v>
      </c>
      <c r="J17" s="8" t="s">
        <v>135</v>
      </c>
    </row>
    <row r="18" customFormat="false" ht="15" hidden="false" customHeight="false" outlineLevel="0" collapsed="false">
      <c r="A18" s="8" t="s">
        <v>136</v>
      </c>
      <c r="B18" s="8" t="s">
        <v>78</v>
      </c>
      <c r="C18" s="11" t="n">
        <v>46357</v>
      </c>
      <c r="D18" s="8" t="n">
        <v>5.33</v>
      </c>
      <c r="E18" s="8"/>
      <c r="F18" s="12" t="n">
        <f aca="false">IF(E18="",D18,D18/E18)</f>
        <v>5.33</v>
      </c>
      <c r="G18" s="13" t="n">
        <f aca="false">IF(INDEX(Indicadores!$F$2:$F$9,MATCH($B18,Indicadores!$A$2:$A$9,0))="","",INDEX(Indicadores!$F$2:$F$9,MATCH($B18,Indicadores!$A$2:$A$9,0)))</f>
        <v>4</v>
      </c>
      <c r="H18" s="14" t="str">
        <f aca="false">IF(G18="","Sem meta",IF(IF(INDEX(Indicadores!$E$2:$E$9,MATCH($B18,Indicadores!$A$2:$A$9,0))="Maior é melhor",F18&gt;=G18,F18&lt;=G18),"Atendido",IF(AND(INDEX(Indicadores!$G$2:$G$9,MATCH($B18,Indicadores!$A$2:$A$9,0))&lt;&gt;"",INDEX(Indicadores!$G$2:$G$9,MATCH($B18,Indicadores!$A$2:$A$9,0))&gt;EOMONTH(C18,0)),"Em atenção","Não atendido")))</f>
        <v>Não atendido</v>
      </c>
      <c r="I18" s="8" t="s">
        <v>107</v>
      </c>
      <c r="J18" s="8" t="s">
        <v>137</v>
      </c>
    </row>
    <row r="19" customFormat="false" ht="15" hidden="false" customHeight="false" outlineLevel="0" collapsed="false">
      <c r="A19" s="8" t="s">
        <v>138</v>
      </c>
      <c r="B19" s="8" t="s">
        <v>85</v>
      </c>
      <c r="C19" s="11" t="n">
        <v>46266</v>
      </c>
      <c r="D19" s="8" t="n">
        <v>7</v>
      </c>
      <c r="E19" s="8"/>
      <c r="F19" s="12" t="n">
        <f aca="false">IF(E19="",D19,D19/E19)</f>
        <v>7</v>
      </c>
      <c r="G19" s="13" t="str">
        <f aca="false">IF(INDEX(Indicadores!$F$2:$F$9,MATCH($B19,Indicadores!$A$2:$A$9,0))="","",INDEX(Indicadores!$F$2:$F$9,MATCH($B19,Indicadores!$A$2:$A$9,0)))</f>
        <v/>
      </c>
      <c r="H19" s="14" t="str">
        <f aca="false">IF(G19="","Sem meta",IF(IF(INDEX(Indicadores!$E$2:$E$9,MATCH($B19,Indicadores!$A$2:$A$9,0))="Maior é melhor",F19&gt;=G19,F19&lt;=G19),"Atendido",IF(AND(INDEX(Indicadores!$G$2:$G$9,MATCH($B19,Indicadores!$A$2:$A$9,0))&lt;&gt;"",INDEX(Indicadores!$G$2:$G$9,MATCH($B19,Indicadores!$A$2:$A$9,0))&gt;EOMONTH(C19,0)),"Em atenção","Não atendido")))</f>
        <v>Sem meta</v>
      </c>
      <c r="I19" s="8" t="s">
        <v>107</v>
      </c>
      <c r="J19" s="8" t="s">
        <v>139</v>
      </c>
    </row>
    <row r="20" customFormat="false" ht="15" hidden="false" customHeight="false" outlineLevel="0" collapsed="false">
      <c r="A20" s="8" t="s">
        <v>140</v>
      </c>
      <c r="B20" s="8" t="s">
        <v>85</v>
      </c>
      <c r="C20" s="11" t="n">
        <v>46296</v>
      </c>
      <c r="D20" s="8" t="n">
        <v>6</v>
      </c>
      <c r="E20" s="8"/>
      <c r="F20" s="12" t="n">
        <f aca="false">IF(E20="",D20,D20/E20)</f>
        <v>6</v>
      </c>
      <c r="G20" s="13" t="str">
        <f aca="false">IF(INDEX(Indicadores!$F$2:$F$9,MATCH($B20,Indicadores!$A$2:$A$9,0))="","",INDEX(Indicadores!$F$2:$F$9,MATCH($B20,Indicadores!$A$2:$A$9,0)))</f>
        <v/>
      </c>
      <c r="H20" s="14" t="str">
        <f aca="false">IF(G20="","Sem meta",IF(IF(INDEX(Indicadores!$E$2:$E$9,MATCH($B20,Indicadores!$A$2:$A$9,0))="Maior é melhor",F20&gt;=G20,F20&lt;=G20),"Atendido",IF(AND(INDEX(Indicadores!$G$2:$G$9,MATCH($B20,Indicadores!$A$2:$A$9,0))&lt;&gt;"",INDEX(Indicadores!$G$2:$G$9,MATCH($B20,Indicadores!$A$2:$A$9,0))&gt;EOMONTH(C20,0)),"Em atenção","Não atendido")))</f>
        <v>Sem meta</v>
      </c>
      <c r="I20" s="8" t="s">
        <v>107</v>
      </c>
      <c r="J20" s="8"/>
    </row>
    <row r="21" customFormat="false" ht="15" hidden="false" customHeight="false" outlineLevel="0" collapsed="false">
      <c r="A21" s="8" t="s">
        <v>141</v>
      </c>
      <c r="B21" s="8" t="s">
        <v>85</v>
      </c>
      <c r="C21" s="11" t="n">
        <v>46327</v>
      </c>
      <c r="D21" s="8" t="n">
        <v>4</v>
      </c>
      <c r="E21" s="8"/>
      <c r="F21" s="12" t="n">
        <f aca="false">IF(E21="",D21,D21/E21)</f>
        <v>4</v>
      </c>
      <c r="G21" s="13" t="str">
        <f aca="false">IF(INDEX(Indicadores!$F$2:$F$9,MATCH($B21,Indicadores!$A$2:$A$9,0))="","",INDEX(Indicadores!$F$2:$F$9,MATCH($B21,Indicadores!$A$2:$A$9,0)))</f>
        <v/>
      </c>
      <c r="H21" s="14" t="str">
        <f aca="false">IF(G21="","Sem meta",IF(IF(INDEX(Indicadores!$E$2:$E$9,MATCH($B21,Indicadores!$A$2:$A$9,0))="Maior é melhor",F21&gt;=G21,F21&lt;=G21),"Atendido",IF(AND(INDEX(Indicadores!$G$2:$G$9,MATCH($B21,Indicadores!$A$2:$A$9,0))&lt;&gt;"",INDEX(Indicadores!$G$2:$G$9,MATCH($B21,Indicadores!$A$2:$A$9,0))&gt;EOMONTH(C21,0)),"Em atenção","Não atendido")))</f>
        <v>Sem meta</v>
      </c>
      <c r="I21" s="8" t="s">
        <v>107</v>
      </c>
      <c r="J21" s="8"/>
    </row>
    <row r="22" customFormat="false" ht="15" hidden="false" customHeight="false" outlineLevel="0" collapsed="false">
      <c r="A22" s="8" t="s">
        <v>142</v>
      </c>
      <c r="B22" s="8" t="s">
        <v>85</v>
      </c>
      <c r="C22" s="11" t="n">
        <v>46357</v>
      </c>
      <c r="D22" s="8" t="n">
        <v>3</v>
      </c>
      <c r="E22" s="8"/>
      <c r="F22" s="12" t="n">
        <f aca="false">IF(E22="",D22,D22/E22)</f>
        <v>3</v>
      </c>
      <c r="G22" s="13" t="str">
        <f aca="false">IF(INDEX(Indicadores!$F$2:$F$9,MATCH($B22,Indicadores!$A$2:$A$9,0))="","",INDEX(Indicadores!$F$2:$F$9,MATCH($B22,Indicadores!$A$2:$A$9,0)))</f>
        <v/>
      </c>
      <c r="H22" s="14" t="str">
        <f aca="false">IF(G22="","Sem meta",IF(IF(INDEX(Indicadores!$E$2:$E$9,MATCH($B22,Indicadores!$A$2:$A$9,0))="Maior é melhor",F22&gt;=G22,F22&lt;=G22),"Atendido",IF(AND(INDEX(Indicadores!$G$2:$G$9,MATCH($B22,Indicadores!$A$2:$A$9,0))&lt;&gt;"",INDEX(Indicadores!$G$2:$G$9,MATCH($B22,Indicadores!$A$2:$A$9,0))&gt;EOMONTH(C22,0)),"Em atenção","Não atendido")))</f>
        <v>Sem meta</v>
      </c>
      <c r="I22" s="8" t="s">
        <v>107</v>
      </c>
      <c r="J22" s="8"/>
    </row>
    <row r="23" customFormat="false" ht="15" hidden="false" customHeight="false" outlineLevel="0" collapsed="false">
      <c r="A23" s="8" t="s">
        <v>143</v>
      </c>
      <c r="B23" s="8" t="s">
        <v>91</v>
      </c>
      <c r="C23" s="11" t="n">
        <v>46266</v>
      </c>
      <c r="D23" s="8" t="n">
        <v>0</v>
      </c>
      <c r="E23" s="8" t="n">
        <v>2</v>
      </c>
      <c r="F23" s="12" t="n">
        <f aca="false">IF(E23="",D23,D23/E23)</f>
        <v>0</v>
      </c>
      <c r="G23" s="13" t="n">
        <f aca="false">IF(INDEX(Indicadores!$F$2:$F$9,MATCH($B23,Indicadores!$A$2:$A$9,0))="","",INDEX(Indicadores!$F$2:$F$9,MATCH($B23,Indicadores!$A$2:$A$9,0)))</f>
        <v>1</v>
      </c>
      <c r="H23" s="14" t="str">
        <f aca="false">IF(G23="","Sem meta",IF(IF(INDEX(Indicadores!$E$2:$E$9,MATCH($B23,Indicadores!$A$2:$A$9,0))="Maior é melhor",F23&gt;=G23,F23&lt;=G23),"Atendido",IF(AND(INDEX(Indicadores!$G$2:$G$9,MATCH($B23,Indicadores!$A$2:$A$9,0))&lt;&gt;"",INDEX(Indicadores!$G$2:$G$9,MATCH($B23,Indicadores!$A$2:$A$9,0))&gt;EOMONTH(C23,0)),"Em atenção","Não atendido")))</f>
        <v>Em atenção</v>
      </c>
      <c r="I23" s="8" t="s">
        <v>107</v>
      </c>
      <c r="J23" s="8" t="s">
        <v>144</v>
      </c>
    </row>
    <row r="24" customFormat="false" ht="15" hidden="false" customHeight="false" outlineLevel="0" collapsed="false">
      <c r="A24" s="8" t="s">
        <v>145</v>
      </c>
      <c r="B24" s="8" t="s">
        <v>91</v>
      </c>
      <c r="C24" s="11" t="n">
        <v>46296</v>
      </c>
      <c r="D24" s="8" t="n">
        <v>0</v>
      </c>
      <c r="E24" s="8" t="n">
        <v>2</v>
      </c>
      <c r="F24" s="12" t="n">
        <f aca="false">IF(E24="",D24,D24/E24)</f>
        <v>0</v>
      </c>
      <c r="G24" s="13" t="n">
        <f aca="false">IF(INDEX(Indicadores!$F$2:$F$9,MATCH($B24,Indicadores!$A$2:$A$9,0))="","",INDEX(Indicadores!$F$2:$F$9,MATCH($B24,Indicadores!$A$2:$A$9,0)))</f>
        <v>1</v>
      </c>
      <c r="H24" s="14" t="str">
        <f aca="false">IF(G24="","Sem meta",IF(IF(INDEX(Indicadores!$E$2:$E$9,MATCH($B24,Indicadores!$A$2:$A$9,0))="Maior é melhor",F24&gt;=G24,F24&lt;=G24),"Atendido",IF(AND(INDEX(Indicadores!$G$2:$G$9,MATCH($B24,Indicadores!$A$2:$A$9,0))&lt;&gt;"",INDEX(Indicadores!$G$2:$G$9,MATCH($B24,Indicadores!$A$2:$A$9,0))&gt;EOMONTH(C24,0)),"Em atenção","Não atendido")))</f>
        <v>Em atenção</v>
      </c>
      <c r="I24" s="8" t="s">
        <v>107</v>
      </c>
      <c r="J24" s="8"/>
    </row>
    <row r="25" customFormat="false" ht="15" hidden="false" customHeight="false" outlineLevel="0" collapsed="false">
      <c r="A25" s="8" t="s">
        <v>146</v>
      </c>
      <c r="B25" s="8" t="s">
        <v>91</v>
      </c>
      <c r="C25" s="11" t="n">
        <v>46327</v>
      </c>
      <c r="D25" s="8" t="n">
        <v>1</v>
      </c>
      <c r="E25" s="8" t="n">
        <v>2</v>
      </c>
      <c r="F25" s="12" t="n">
        <f aca="false">IF(E25="",D25,D25/E25)</f>
        <v>0.5</v>
      </c>
      <c r="G25" s="13" t="n">
        <f aca="false">IF(INDEX(Indicadores!$F$2:$F$9,MATCH($B25,Indicadores!$A$2:$A$9,0))="","",INDEX(Indicadores!$F$2:$F$9,MATCH($B25,Indicadores!$A$2:$A$9,0)))</f>
        <v>1</v>
      </c>
      <c r="H25" s="14" t="str">
        <f aca="false">IF(G25="","Sem meta",IF(IF(INDEX(Indicadores!$E$2:$E$9,MATCH($B25,Indicadores!$A$2:$A$9,0))="Maior é melhor",F25&gt;=G25,F25&lt;=G25),"Atendido",IF(AND(INDEX(Indicadores!$G$2:$G$9,MATCH($B25,Indicadores!$A$2:$A$9,0))&lt;&gt;"",INDEX(Indicadores!$G$2:$G$9,MATCH($B25,Indicadores!$A$2:$A$9,0))&gt;EOMONTH(C25,0)),"Em atenção","Não atendido")))</f>
        <v>Em atenção</v>
      </c>
      <c r="I25" s="8" t="s">
        <v>107</v>
      </c>
      <c r="J25" s="8" t="s">
        <v>147</v>
      </c>
    </row>
    <row r="26" customFormat="false" ht="15" hidden="false" customHeight="false" outlineLevel="0" collapsed="false">
      <c r="A26" s="8" t="s">
        <v>148</v>
      </c>
      <c r="B26" s="8" t="s">
        <v>91</v>
      </c>
      <c r="C26" s="11" t="n">
        <v>46357</v>
      </c>
      <c r="D26" s="8" t="n">
        <v>2</v>
      </c>
      <c r="E26" s="8" t="n">
        <v>2</v>
      </c>
      <c r="F26" s="12" t="n">
        <f aca="false">IF(E26="",D26,D26/E26)</f>
        <v>1</v>
      </c>
      <c r="G26" s="13" t="n">
        <f aca="false">IF(INDEX(Indicadores!$F$2:$F$9,MATCH($B26,Indicadores!$A$2:$A$9,0))="","",INDEX(Indicadores!$F$2:$F$9,MATCH($B26,Indicadores!$A$2:$A$9,0)))</f>
        <v>1</v>
      </c>
      <c r="H26" s="14" t="str">
        <f aca="false">IF(G26="","Sem meta",IF(IF(INDEX(Indicadores!$E$2:$E$9,MATCH($B26,Indicadores!$A$2:$A$9,0))="Maior é melhor",F26&gt;=G26,F26&lt;=G26),"Atendido",IF(AND(INDEX(Indicadores!$G$2:$G$9,MATCH($B26,Indicadores!$A$2:$A$9,0))&lt;&gt;"",INDEX(Indicadores!$G$2:$G$9,MATCH($B26,Indicadores!$A$2:$A$9,0))&gt;EOMONTH(C26,0)),"Em atenção","Não atendido")))</f>
        <v>Atendido</v>
      </c>
      <c r="I26" s="8" t="s">
        <v>107</v>
      </c>
      <c r="J26" s="8" t="s">
        <v>149</v>
      </c>
    </row>
    <row r="27" customFormat="false" ht="15" hidden="false" customHeight="false" outlineLevel="0" collapsed="false">
      <c r="A27" s="8" t="s">
        <v>150</v>
      </c>
      <c r="B27" s="8" t="s">
        <v>95</v>
      </c>
      <c r="C27" s="11" t="n">
        <v>46357</v>
      </c>
      <c r="D27" s="8" t="n">
        <v>0</v>
      </c>
      <c r="E27" s="8"/>
      <c r="F27" s="12" t="n">
        <f aca="false">IF(E27="",D27,D27/E27)</f>
        <v>0</v>
      </c>
      <c r="G27" s="13" t="n">
        <f aca="false">IF(INDEX(Indicadores!$F$2:$F$9,MATCH($B27,Indicadores!$A$2:$A$9,0))="","",INDEX(Indicadores!$F$2:$F$9,MATCH($B27,Indicadores!$A$2:$A$9,0)))</f>
        <v>1</v>
      </c>
      <c r="H27" s="14" t="str">
        <f aca="false">IF(G27="","Sem meta",IF(IF(INDEX(Indicadores!$E$2:$E$9,MATCH($B27,Indicadores!$A$2:$A$9,0))="Maior é melhor",F27&gt;=G27,F27&lt;=G27),"Atendido",IF(AND(INDEX(Indicadores!$G$2:$G$9,MATCH($B27,Indicadores!$A$2:$A$9,0))&lt;&gt;"",INDEX(Indicadores!$G$2:$G$9,MATCH($B27,Indicadores!$A$2:$A$9,0))&gt;EOMONTH(C27,0)),"Em atenção","Não atendido")))</f>
        <v>Não atendido</v>
      </c>
      <c r="I27" s="8" t="s">
        <v>107</v>
      </c>
      <c r="J27" s="8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8" min="7" style="0" width="10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1" min="11" style="0" width="32"/>
    <col collapsed="false" customWidth="true" hidden="false" outlineLevel="0" max="12" min="12" style="0" width="18"/>
    <col collapsed="false" customWidth="true" hidden="false" outlineLevel="0" max="13" min="13" style="0" width="11"/>
  </cols>
  <sheetData>
    <row r="1" customFormat="false" ht="30" hidden="false" customHeight="true" outlineLevel="0" collapsed="false">
      <c r="A1" s="7" t="s">
        <v>45</v>
      </c>
      <c r="B1" s="7" t="s">
        <v>152</v>
      </c>
      <c r="C1" s="7" t="s">
        <v>153</v>
      </c>
      <c r="D1" s="7" t="s">
        <v>154</v>
      </c>
      <c r="E1" s="7" t="s">
        <v>155</v>
      </c>
      <c r="F1" s="7" t="s">
        <v>156</v>
      </c>
      <c r="G1" s="7" t="s">
        <v>157</v>
      </c>
      <c r="H1" s="7" t="s">
        <v>158</v>
      </c>
      <c r="I1" s="7" t="s">
        <v>159</v>
      </c>
      <c r="J1" s="7" t="s">
        <v>160</v>
      </c>
      <c r="K1" s="7" t="s">
        <v>43</v>
      </c>
      <c r="L1" s="7" t="s">
        <v>161</v>
      </c>
      <c r="M1" s="7" t="s">
        <v>46</v>
      </c>
    </row>
    <row r="2" customFormat="false" ht="23.85" hidden="false" customHeight="false" outlineLevel="0" collapsed="false">
      <c r="A2" s="8" t="s">
        <v>71</v>
      </c>
      <c r="B2" s="8" t="s">
        <v>162</v>
      </c>
      <c r="C2" s="8" t="s">
        <v>163</v>
      </c>
      <c r="D2" s="8" t="n">
        <v>4</v>
      </c>
      <c r="E2" s="8" t="n">
        <v>5</v>
      </c>
      <c r="F2" s="15" t="n">
        <f aca="false">D2*E2</f>
        <v>20</v>
      </c>
      <c r="G2" s="15" t="str">
        <f aca="false">IF(F2&gt;=20,"Crítico",IF(F2&gt;=13,"Alto",IF(F2&gt;=6,"Médio","Baixo")))</f>
        <v>Crítico</v>
      </c>
      <c r="H2" s="8" t="n">
        <v>2</v>
      </c>
      <c r="I2" s="8" t="s">
        <v>164</v>
      </c>
      <c r="J2" s="8" t="s">
        <v>165</v>
      </c>
      <c r="K2" s="8" t="s">
        <v>69</v>
      </c>
      <c r="L2" s="14" t="str">
        <f aca="false">IF(COUNTIFS(Marcos!$B$2:$B$13,A2,Marcos!$G$2:$G$13,"Atrasado")&gt;0,"Atrasado","Em dia")</f>
        <v>Atrasado</v>
      </c>
      <c r="M2" s="8" t="s">
        <v>57</v>
      </c>
    </row>
    <row r="3" customFormat="false" ht="23.85" hidden="false" customHeight="false" outlineLevel="0" collapsed="false">
      <c r="A3" s="8" t="s">
        <v>65</v>
      </c>
      <c r="B3" s="8" t="s">
        <v>166</v>
      </c>
      <c r="C3" s="8" t="s">
        <v>167</v>
      </c>
      <c r="D3" s="8" t="n">
        <v>5</v>
      </c>
      <c r="E3" s="8" t="n">
        <v>5</v>
      </c>
      <c r="F3" s="15" t="n">
        <f aca="false">D3*E3</f>
        <v>25</v>
      </c>
      <c r="G3" s="15" t="str">
        <f aca="false">IF(F3&gt;=20,"Crítico",IF(F3&gt;=13,"Alto",IF(F3&gt;=6,"Médio","Baixo")))</f>
        <v>Crítico</v>
      </c>
      <c r="H3" s="8" t="n">
        <v>1</v>
      </c>
      <c r="I3" s="8" t="s">
        <v>168</v>
      </c>
      <c r="J3" s="8" t="s">
        <v>169</v>
      </c>
      <c r="K3" s="8" t="s">
        <v>170</v>
      </c>
      <c r="L3" s="14" t="str">
        <f aca="false">IF(COUNTIFS(Marcos!$B$2:$B$13,A3,Marcos!$G$2:$G$13,"Atrasado")&gt;0,"Atrasado","Em dia")</f>
        <v>Em dia</v>
      </c>
      <c r="M3" s="8" t="s">
        <v>57</v>
      </c>
    </row>
    <row r="4" customFormat="false" ht="23.85" hidden="false" customHeight="false" outlineLevel="0" collapsed="false">
      <c r="A4" s="8" t="s">
        <v>77</v>
      </c>
      <c r="B4" s="8" t="s">
        <v>171</v>
      </c>
      <c r="C4" s="8" t="s">
        <v>172</v>
      </c>
      <c r="D4" s="8" t="n">
        <v>3</v>
      </c>
      <c r="E4" s="8" t="n">
        <v>4</v>
      </c>
      <c r="F4" s="15" t="n">
        <f aca="false">D4*E4</f>
        <v>12</v>
      </c>
      <c r="G4" s="15" t="str">
        <f aca="false">IF(F4&gt;=20,"Crítico",IF(F4&gt;=13,"Alto",IF(F4&gt;=6,"Médio","Baixo")))</f>
        <v>Médio</v>
      </c>
      <c r="H4" s="8" t="n">
        <v>3</v>
      </c>
      <c r="I4" s="8" t="s">
        <v>173</v>
      </c>
      <c r="J4" s="8" t="s">
        <v>174</v>
      </c>
      <c r="K4" s="8" t="s">
        <v>175</v>
      </c>
      <c r="L4" s="14" t="str">
        <f aca="false">IF(COUNTIFS(Marcos!$B$2:$B$13,A4,Marcos!$G$2:$G$13,"Atrasado")&gt;0,"Atrasado","Em dia")</f>
        <v>Atrasado</v>
      </c>
      <c r="M4" s="8" t="s">
        <v>57</v>
      </c>
    </row>
    <row r="5" customFormat="false" ht="15" hidden="false" customHeight="false" outlineLevel="0" collapsed="false">
      <c r="A5" s="8" t="s">
        <v>56</v>
      </c>
      <c r="B5" s="8" t="s">
        <v>176</v>
      </c>
      <c r="C5" s="8" t="s">
        <v>177</v>
      </c>
      <c r="D5" s="8" t="n">
        <v>4</v>
      </c>
      <c r="E5" s="8" t="n">
        <v>3</v>
      </c>
      <c r="F5" s="15" t="n">
        <f aca="false">D5*E5</f>
        <v>12</v>
      </c>
      <c r="G5" s="15" t="str">
        <f aca="false">IF(F5&gt;=20,"Crítico",IF(F5&gt;=13,"Alto",IF(F5&gt;=6,"Médio","Baixo")))</f>
        <v>Médio</v>
      </c>
      <c r="H5" s="8" t="n">
        <v>4</v>
      </c>
      <c r="I5" s="8" t="s">
        <v>178</v>
      </c>
      <c r="J5" s="8" t="s">
        <v>179</v>
      </c>
      <c r="K5" s="8" t="s">
        <v>88</v>
      </c>
      <c r="L5" s="14" t="str">
        <f aca="false">IF(COUNTIFS(Marcos!$B$2:$B$13,A5,Marcos!$G$2:$G$13,"Atrasado")&gt;0,"Atrasado","Em dia")</f>
        <v>Atrasado</v>
      </c>
      <c r="M5" s="8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44"/>
    <col collapsed="false" customWidth="true" hidden="false" outlineLevel="0" max="9" min="9" style="0" width="30"/>
  </cols>
  <sheetData>
    <row r="1" customFormat="false" ht="30" hidden="false" customHeight="true" outlineLevel="0" collapsed="false">
      <c r="A1" s="7" t="s">
        <v>180</v>
      </c>
      <c r="B1" s="7" t="s">
        <v>45</v>
      </c>
      <c r="C1" s="7" t="s">
        <v>181</v>
      </c>
      <c r="D1" s="7" t="s">
        <v>182</v>
      </c>
      <c r="E1" s="7" t="s">
        <v>183</v>
      </c>
      <c r="F1" s="7" t="s">
        <v>184</v>
      </c>
      <c r="G1" s="7" t="s">
        <v>105</v>
      </c>
      <c r="H1" s="7" t="s">
        <v>185</v>
      </c>
      <c r="I1" s="7" t="s">
        <v>43</v>
      </c>
    </row>
    <row r="2" customFormat="false" ht="15" hidden="false" customHeight="false" outlineLevel="0" collapsed="false">
      <c r="A2" s="8" t="s">
        <v>186</v>
      </c>
      <c r="B2" s="8" t="s">
        <v>71</v>
      </c>
      <c r="C2" s="8" t="s">
        <v>187</v>
      </c>
      <c r="D2" s="9" t="n">
        <v>46325</v>
      </c>
      <c r="E2" s="8" t="s">
        <v>188</v>
      </c>
      <c r="F2" s="9" t="n">
        <v>46323</v>
      </c>
      <c r="G2" s="14" t="str">
        <f aca="false">IF(E2="Concluído","Concluído",IF(D2&lt;Parametros!$B$2,"Atrasado","Em dia"))</f>
        <v>Concluído</v>
      </c>
      <c r="H2" s="8" t="s">
        <v>189</v>
      </c>
      <c r="I2" s="8" t="s">
        <v>69</v>
      </c>
    </row>
    <row r="3" customFormat="false" ht="15" hidden="false" customHeight="false" outlineLevel="0" collapsed="false">
      <c r="A3" s="8" t="s">
        <v>190</v>
      </c>
      <c r="B3" s="8" t="s">
        <v>71</v>
      </c>
      <c r="C3" s="8" t="s">
        <v>191</v>
      </c>
      <c r="D3" s="9" t="n">
        <v>46356</v>
      </c>
      <c r="E3" s="8" t="s">
        <v>192</v>
      </c>
      <c r="F3" s="9"/>
      <c r="G3" s="14" t="str">
        <f aca="false">IF(E3="Concluído","Concluído",IF(D3&lt;Parametros!$B$2,"Atrasado","Em dia"))</f>
        <v>Atrasado</v>
      </c>
      <c r="H3" s="8" t="s">
        <v>193</v>
      </c>
      <c r="I3" s="8" t="s">
        <v>69</v>
      </c>
    </row>
    <row r="4" customFormat="false" ht="15" hidden="false" customHeight="false" outlineLevel="0" collapsed="false">
      <c r="A4" s="8" t="s">
        <v>194</v>
      </c>
      <c r="B4" s="8" t="s">
        <v>71</v>
      </c>
      <c r="C4" s="8" t="s">
        <v>195</v>
      </c>
      <c r="D4" s="9" t="n">
        <v>46387</v>
      </c>
      <c r="E4" s="8" t="s">
        <v>188</v>
      </c>
      <c r="F4" s="9" t="n">
        <v>46371</v>
      </c>
      <c r="G4" s="14" t="str">
        <f aca="false">IF(E4="Concluído","Concluído",IF(D4&lt;Parametros!$B$2,"Atrasado","Em dia"))</f>
        <v>Concluído</v>
      </c>
      <c r="H4" s="8" t="s">
        <v>196</v>
      </c>
      <c r="I4" s="8" t="s">
        <v>69</v>
      </c>
    </row>
    <row r="5" customFormat="false" ht="15" hidden="false" customHeight="false" outlineLevel="0" collapsed="false">
      <c r="A5" s="8" t="s">
        <v>197</v>
      </c>
      <c r="B5" s="8" t="s">
        <v>71</v>
      </c>
      <c r="C5" s="8" t="s">
        <v>198</v>
      </c>
      <c r="D5" s="9" t="n">
        <v>46660</v>
      </c>
      <c r="E5" s="8" t="s">
        <v>199</v>
      </c>
      <c r="F5" s="9"/>
      <c r="G5" s="14" t="str">
        <f aca="false">IF(E5="Concluído","Concluído",IF(D5&lt;Parametros!$B$2,"Atrasado","Em dia"))</f>
        <v>Em dia</v>
      </c>
      <c r="H5" s="8" t="s">
        <v>200</v>
      </c>
      <c r="I5" s="8" t="s">
        <v>69</v>
      </c>
    </row>
    <row r="6" customFormat="false" ht="15" hidden="false" customHeight="false" outlineLevel="0" collapsed="false">
      <c r="A6" s="8" t="s">
        <v>201</v>
      </c>
      <c r="B6" s="8" t="s">
        <v>65</v>
      </c>
      <c r="C6" s="8" t="s">
        <v>202</v>
      </c>
      <c r="D6" s="9" t="n">
        <v>46325</v>
      </c>
      <c r="E6" s="8" t="s">
        <v>188</v>
      </c>
      <c r="F6" s="9" t="n">
        <v>46322</v>
      </c>
      <c r="G6" s="14" t="str">
        <f aca="false">IF(E6="Concluído","Concluído",IF(D6&lt;Parametros!$B$2,"Atrasado","Em dia"))</f>
        <v>Concluído</v>
      </c>
      <c r="H6" s="8" t="s">
        <v>203</v>
      </c>
      <c r="I6" s="8" t="s">
        <v>88</v>
      </c>
    </row>
    <row r="7" customFormat="false" ht="15" hidden="false" customHeight="false" outlineLevel="0" collapsed="false">
      <c r="A7" s="8" t="s">
        <v>204</v>
      </c>
      <c r="B7" s="8" t="s">
        <v>65</v>
      </c>
      <c r="C7" s="8" t="s">
        <v>205</v>
      </c>
      <c r="D7" s="9" t="n">
        <v>46356</v>
      </c>
      <c r="E7" s="8" t="s">
        <v>188</v>
      </c>
      <c r="F7" s="9" t="n">
        <v>46351</v>
      </c>
      <c r="G7" s="14" t="str">
        <f aca="false">IF(E7="Concluído","Concluído",IF(D7&lt;Parametros!$B$2,"Atrasado","Em dia"))</f>
        <v>Concluído</v>
      </c>
      <c r="H7" s="8" t="s">
        <v>206</v>
      </c>
      <c r="I7" s="8" t="s">
        <v>88</v>
      </c>
    </row>
    <row r="8" customFormat="false" ht="23.85" hidden="false" customHeight="false" outlineLevel="0" collapsed="false">
      <c r="A8" s="8" t="s">
        <v>207</v>
      </c>
      <c r="B8" s="8" t="s">
        <v>65</v>
      </c>
      <c r="C8" s="8" t="s">
        <v>208</v>
      </c>
      <c r="D8" s="9" t="n">
        <v>46387</v>
      </c>
      <c r="E8" s="8" t="s">
        <v>199</v>
      </c>
      <c r="F8" s="9"/>
      <c r="G8" s="14" t="str">
        <f aca="false">IF(E8="Concluído","Concluído",IF(D8&lt;Parametros!$B$2,"Atrasado","Em dia"))</f>
        <v>Em dia</v>
      </c>
      <c r="H8" s="8" t="s">
        <v>209</v>
      </c>
      <c r="I8" s="8" t="s">
        <v>170</v>
      </c>
    </row>
    <row r="9" customFormat="false" ht="15" hidden="false" customHeight="false" outlineLevel="0" collapsed="false">
      <c r="A9" s="8" t="s">
        <v>210</v>
      </c>
      <c r="B9" s="8" t="s">
        <v>77</v>
      </c>
      <c r="C9" s="8" t="s">
        <v>211</v>
      </c>
      <c r="D9" s="9" t="n">
        <v>46325</v>
      </c>
      <c r="E9" s="8" t="s">
        <v>188</v>
      </c>
      <c r="F9" s="9" t="n">
        <v>46325</v>
      </c>
      <c r="G9" s="14" t="str">
        <f aca="false">IF(E9="Concluído","Concluído",IF(D9&lt;Parametros!$B$2,"Atrasado","Em dia"))</f>
        <v>Concluído</v>
      </c>
      <c r="H9" s="8" t="s">
        <v>212</v>
      </c>
      <c r="I9" s="8" t="s">
        <v>69</v>
      </c>
    </row>
    <row r="10" customFormat="false" ht="15" hidden="false" customHeight="false" outlineLevel="0" collapsed="false">
      <c r="A10" s="8" t="s">
        <v>213</v>
      </c>
      <c r="B10" s="8" t="s">
        <v>77</v>
      </c>
      <c r="C10" s="8" t="s">
        <v>214</v>
      </c>
      <c r="D10" s="9" t="n">
        <v>46356</v>
      </c>
      <c r="E10" s="8" t="s">
        <v>199</v>
      </c>
      <c r="F10" s="9"/>
      <c r="G10" s="14" t="str">
        <f aca="false">IF(E10="Concluído","Concluído",IF(D10&lt;Parametros!$B$2,"Atrasado","Em dia"))</f>
        <v>Atrasado</v>
      </c>
      <c r="H10" s="8" t="s">
        <v>215</v>
      </c>
      <c r="I10" s="8" t="s">
        <v>69</v>
      </c>
    </row>
    <row r="11" customFormat="false" ht="15" hidden="false" customHeight="false" outlineLevel="0" collapsed="false">
      <c r="A11" s="8" t="s">
        <v>216</v>
      </c>
      <c r="B11" s="8" t="s">
        <v>77</v>
      </c>
      <c r="C11" s="8" t="s">
        <v>217</v>
      </c>
      <c r="D11" s="9" t="n">
        <v>46477</v>
      </c>
      <c r="E11" s="8" t="s">
        <v>192</v>
      </c>
      <c r="F11" s="9"/>
      <c r="G11" s="14" t="str">
        <f aca="false">IF(E11="Concluído","Concluído",IF(D11&lt;Parametros!$B$2,"Atrasado","Em dia"))</f>
        <v>Em dia</v>
      </c>
      <c r="H11" s="8" t="s">
        <v>218</v>
      </c>
      <c r="I11" s="8" t="s">
        <v>219</v>
      </c>
    </row>
    <row r="12" customFormat="false" ht="15" hidden="false" customHeight="false" outlineLevel="0" collapsed="false">
      <c r="A12" s="8" t="s">
        <v>220</v>
      </c>
      <c r="B12" s="8" t="s">
        <v>56</v>
      </c>
      <c r="C12" s="8" t="s">
        <v>221</v>
      </c>
      <c r="D12" s="9" t="n">
        <v>46325</v>
      </c>
      <c r="E12" s="8" t="s">
        <v>188</v>
      </c>
      <c r="F12" s="9" t="n">
        <v>46315</v>
      </c>
      <c r="G12" s="14" t="str">
        <f aca="false">IF(E12="Concluído","Concluído",IF(D12&lt;Parametros!$B$2,"Atrasado","Em dia"))</f>
        <v>Concluído</v>
      </c>
      <c r="H12" s="8" t="s">
        <v>222</v>
      </c>
      <c r="I12" s="8" t="s">
        <v>88</v>
      </c>
    </row>
    <row r="13" customFormat="false" ht="15" hidden="false" customHeight="false" outlineLevel="0" collapsed="false">
      <c r="A13" s="8" t="s">
        <v>223</v>
      </c>
      <c r="B13" s="8" t="s">
        <v>56</v>
      </c>
      <c r="C13" s="8" t="s">
        <v>224</v>
      </c>
      <c r="D13" s="9" t="n">
        <v>46356</v>
      </c>
      <c r="E13" s="8" t="s">
        <v>192</v>
      </c>
      <c r="F13" s="9"/>
      <c r="G13" s="14" t="str">
        <f aca="false">IF(E13="Concluído","Concluído",IF(D13&lt;Parametros!$B$2,"Atrasado","Em dia"))</f>
        <v>Atrasado</v>
      </c>
      <c r="H13" s="8" t="s">
        <v>225</v>
      </c>
      <c r="I13" s="8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2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46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46"/>
    <col collapsed="false" customWidth="true" hidden="false" outlineLevel="0" max="9" min="9" style="0" width="11"/>
    <col collapsed="false" customWidth="true" hidden="false" outlineLevel="0" max="10" min="10" style="0" width="30"/>
  </cols>
  <sheetData>
    <row r="1" customFormat="false" ht="30" hidden="false" customHeight="true" outlineLevel="0" collapsed="false">
      <c r="A1" s="7" t="s">
        <v>226</v>
      </c>
      <c r="B1" s="7" t="s">
        <v>227</v>
      </c>
      <c r="C1" s="7" t="s">
        <v>45</v>
      </c>
      <c r="D1" s="7" t="s">
        <v>8</v>
      </c>
      <c r="E1" s="7" t="s">
        <v>228</v>
      </c>
      <c r="F1" s="7" t="s">
        <v>43</v>
      </c>
      <c r="G1" s="7" t="s">
        <v>182</v>
      </c>
      <c r="H1" s="7" t="s">
        <v>229</v>
      </c>
      <c r="I1" s="7" t="s">
        <v>230</v>
      </c>
      <c r="J1" s="7" t="s">
        <v>231</v>
      </c>
    </row>
    <row r="2" customFormat="false" ht="23.85" hidden="false" customHeight="false" outlineLevel="0" collapsed="false">
      <c r="A2" s="8" t="s">
        <v>232</v>
      </c>
      <c r="B2" s="8" t="s">
        <v>233</v>
      </c>
      <c r="C2" s="8" t="s">
        <v>77</v>
      </c>
      <c r="D2" s="8" t="s">
        <v>72</v>
      </c>
      <c r="E2" s="8" t="s">
        <v>234</v>
      </c>
      <c r="F2" s="8" t="s">
        <v>69</v>
      </c>
      <c r="G2" s="9" t="n">
        <v>46402</v>
      </c>
      <c r="H2" s="8" t="s">
        <v>235</v>
      </c>
      <c r="I2" s="8" t="s">
        <v>236</v>
      </c>
      <c r="J2" s="8" t="s">
        <v>237</v>
      </c>
    </row>
    <row r="3" customFormat="false" ht="23.85" hidden="false" customHeight="false" outlineLevel="0" collapsed="false">
      <c r="A3" s="8" t="s">
        <v>238</v>
      </c>
      <c r="B3" s="8" t="s">
        <v>239</v>
      </c>
      <c r="C3" s="8" t="s">
        <v>56</v>
      </c>
      <c r="D3" s="8" t="s">
        <v>240</v>
      </c>
      <c r="E3" s="8" t="s">
        <v>241</v>
      </c>
      <c r="F3" s="8" t="s">
        <v>88</v>
      </c>
      <c r="G3" s="9" t="n">
        <v>46477</v>
      </c>
      <c r="H3" s="8" t="s">
        <v>242</v>
      </c>
      <c r="I3" s="8" t="s">
        <v>236</v>
      </c>
      <c r="J3" s="8" t="s">
        <v>237</v>
      </c>
    </row>
    <row r="4" customFormat="false" ht="23.85" hidden="false" customHeight="false" outlineLevel="0" collapsed="false">
      <c r="A4" s="8" t="s">
        <v>243</v>
      </c>
      <c r="B4" s="8" t="s">
        <v>244</v>
      </c>
      <c r="C4" s="8" t="s">
        <v>65</v>
      </c>
      <c r="D4" s="8" t="s">
        <v>245</v>
      </c>
      <c r="E4" s="8" t="s">
        <v>246</v>
      </c>
      <c r="F4" s="8" t="s">
        <v>170</v>
      </c>
      <c r="G4" s="9" t="n">
        <v>46418</v>
      </c>
      <c r="H4" s="8" t="s">
        <v>247</v>
      </c>
      <c r="I4" s="8" t="s">
        <v>236</v>
      </c>
      <c r="J4" s="8" t="s">
        <v>237</v>
      </c>
    </row>
    <row r="5" customFormat="false" ht="23.85" hidden="false" customHeight="false" outlineLevel="0" collapsed="false">
      <c r="A5" s="8" t="s">
        <v>248</v>
      </c>
      <c r="B5" s="8" t="s">
        <v>249</v>
      </c>
      <c r="C5" s="8" t="s">
        <v>71</v>
      </c>
      <c r="D5" s="8" t="s">
        <v>250</v>
      </c>
      <c r="E5" s="8" t="s">
        <v>251</v>
      </c>
      <c r="F5" s="8" t="s">
        <v>252</v>
      </c>
      <c r="G5" s="9" t="n">
        <v>46418</v>
      </c>
      <c r="H5" s="8" t="s">
        <v>253</v>
      </c>
      <c r="I5" s="8" t="s">
        <v>236</v>
      </c>
      <c r="J5" s="8" t="s">
        <v>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6" t="s">
        <v>254</v>
      </c>
      <c r="B1" s="17"/>
    </row>
    <row r="2" customFormat="false" ht="15" hidden="false" customHeight="false" outlineLevel="0" collapsed="false">
      <c r="A2" s="18" t="s">
        <v>255</v>
      </c>
      <c r="B2" s="17" t="s">
        <v>256</v>
      </c>
    </row>
    <row r="3" customFormat="false" ht="15" hidden="false" customHeight="false" outlineLevel="0" collapsed="false">
      <c r="A3" s="18" t="s">
        <v>257</v>
      </c>
      <c r="B3" s="17" t="s">
        <v>258</v>
      </c>
    </row>
    <row r="4" customFormat="false" ht="15" hidden="false" customHeight="false" outlineLevel="0" collapsed="false">
      <c r="A4" s="18" t="s">
        <v>259</v>
      </c>
      <c r="B4" s="17" t="s">
        <v>260</v>
      </c>
    </row>
    <row r="5" customFormat="false" ht="15" hidden="false" customHeight="false" outlineLevel="0" collapsed="false">
      <c r="A5" s="18" t="s">
        <v>261</v>
      </c>
      <c r="B5" s="17" t="s">
        <v>262</v>
      </c>
    </row>
    <row r="6" customFormat="false" ht="23.85" hidden="false" customHeight="false" outlineLevel="0" collapsed="false">
      <c r="A6" s="18" t="s">
        <v>263</v>
      </c>
      <c r="B6" s="17" t="s">
        <v>264</v>
      </c>
    </row>
    <row r="7" customFormat="false" ht="15" hidden="false" customHeight="false" outlineLevel="0" collapsed="false">
      <c r="A7" s="18"/>
      <c r="B7" s="17"/>
    </row>
    <row r="8" customFormat="false" ht="15" hidden="false" customHeight="false" outlineLevel="0" collapsed="false">
      <c r="A8" s="16" t="s">
        <v>265</v>
      </c>
      <c r="B8" s="17"/>
    </row>
    <row r="9" customFormat="false" ht="23.85" hidden="false" customHeight="false" outlineLevel="0" collapsed="false">
      <c r="A9" s="18" t="s">
        <v>266</v>
      </c>
      <c r="B9" s="17" t="s">
        <v>267</v>
      </c>
    </row>
    <row r="10" customFormat="false" ht="15" hidden="false" customHeight="false" outlineLevel="0" collapsed="false">
      <c r="A10" s="18"/>
      <c r="B10" s="17"/>
    </row>
    <row r="11" customFormat="false" ht="15" hidden="false" customHeight="false" outlineLevel="0" collapsed="false">
      <c r="A11" s="16" t="s">
        <v>268</v>
      </c>
      <c r="B11" s="17"/>
    </row>
    <row r="12" customFormat="false" ht="45" hidden="false" customHeight="true" outlineLevel="0" collapsed="false">
      <c r="A12" s="18" t="s">
        <v>269</v>
      </c>
      <c r="B12" s="17" t="s">
        <v>270</v>
      </c>
    </row>
    <row r="13" customFormat="false" ht="15" hidden="false" customHeight="false" outlineLevel="0" collapsed="false">
      <c r="A13" s="18" t="s">
        <v>38</v>
      </c>
      <c r="B13" s="17" t="s">
        <v>271</v>
      </c>
    </row>
    <row r="14" customFormat="false" ht="15" hidden="false" customHeight="false" outlineLevel="0" collapsed="false">
      <c r="A14" s="18" t="s">
        <v>272</v>
      </c>
      <c r="B14" s="17" t="s">
        <v>273</v>
      </c>
    </row>
    <row r="15" customFormat="false" ht="15" hidden="false" customHeight="false" outlineLevel="0" collapsed="false">
      <c r="A15" s="18" t="s">
        <v>274</v>
      </c>
      <c r="B15" s="17" t="s">
        <v>275</v>
      </c>
    </row>
    <row r="16" customFormat="false" ht="150" hidden="false" customHeight="true" outlineLevel="0" collapsed="false">
      <c r="A16" s="18" t="s">
        <v>276</v>
      </c>
      <c r="B16" s="17" t="s">
        <v>277</v>
      </c>
    </row>
    <row r="17" customFormat="false" ht="30" hidden="false" customHeight="true" outlineLevel="0" collapsed="false">
      <c r="A17" s="18" t="s">
        <v>278</v>
      </c>
      <c r="B17" s="17" t="s">
        <v>279</v>
      </c>
    </row>
    <row r="18" customFormat="false" ht="90" hidden="false" customHeight="true" outlineLevel="0" collapsed="false">
      <c r="A18" s="18" t="s">
        <v>280</v>
      </c>
      <c r="B18" s="17" t="s">
        <v>281</v>
      </c>
    </row>
    <row r="19" customFormat="false" ht="15" hidden="false" customHeight="false" outlineLevel="0" collapsed="false">
      <c r="A19" s="18" t="s">
        <v>282</v>
      </c>
      <c r="B19" s="17" t="s">
        <v>283</v>
      </c>
    </row>
    <row r="20" customFormat="false" ht="15" hidden="false" customHeight="false" outlineLevel="0" collapsed="false">
      <c r="A20" s="18" t="s">
        <v>284</v>
      </c>
      <c r="B20" s="17" t="s">
        <v>285</v>
      </c>
    </row>
    <row r="21" customFormat="false" ht="23.85" hidden="false" customHeight="false" outlineLevel="0" collapsed="false">
      <c r="A21" s="18" t="s">
        <v>286</v>
      </c>
      <c r="B21" s="17" t="s">
        <v>287</v>
      </c>
    </row>
    <row r="22" customFormat="false" ht="15" hidden="false" customHeight="false" outlineLevel="0" collapsed="false">
      <c r="A22" s="18"/>
      <c r="B22" s="17"/>
    </row>
    <row r="23" customFormat="false" ht="15" hidden="false" customHeight="false" outlineLevel="0" collapsed="false">
      <c r="A23" s="16" t="s">
        <v>288</v>
      </c>
      <c r="B23" s="17"/>
    </row>
    <row r="24" customFormat="false" ht="23.85" hidden="false" customHeight="false" outlineLevel="0" collapsed="false">
      <c r="A24" s="18" t="s">
        <v>289</v>
      </c>
      <c r="B24" s="17" t="s">
        <v>290</v>
      </c>
    </row>
    <row r="25" customFormat="false" ht="23.85" hidden="false" customHeight="false" outlineLevel="0" collapsed="false">
      <c r="A25" s="18" t="s">
        <v>291</v>
      </c>
      <c r="B25" s="17" t="s">
        <v>292</v>
      </c>
    </row>
    <row r="26" customFormat="false" ht="23.85" hidden="false" customHeight="false" outlineLevel="0" collapsed="false">
      <c r="A26" s="18" t="s">
        <v>293</v>
      </c>
      <c r="B26" s="17" t="s">
        <v>294</v>
      </c>
    </row>
    <row r="27" customFormat="false" ht="15" hidden="false" customHeight="false" outlineLevel="0" collapsed="false">
      <c r="A27" s="18" t="s">
        <v>295</v>
      </c>
      <c r="B27" s="17" t="s">
        <v>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2026-10-27T14:10:46Z</dcterms:created>
  <dc:creator>openpyxl</dc:creator>
  <dc:description/>
  <dc:language>en-US</dc:language>
  <cp:lastModifiedBy/>
  <dcterms:modified xsi:type="dcterms:W3CDTF">2026-10-27T14:10:46Z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